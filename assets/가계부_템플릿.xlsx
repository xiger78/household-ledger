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생활\"/>
    </mc:Choice>
  </mc:AlternateContent>
  <bookViews>
    <workbookView xWindow="0" yWindow="0" windowWidth="25200" windowHeight="11835" tabRatio="847" activeTab="5"/>
  </bookViews>
  <sheets>
    <sheet name="참조" sheetId="2" r:id="rId1"/>
    <sheet name="2026년휴일" sheetId="3" r:id="rId2"/>
    <sheet name="2026저축계획" sheetId="41" r:id="rId3"/>
    <sheet name="장기계획" sheetId="43" r:id="rId4"/>
    <sheet name="2026년달력" sheetId="1" r:id="rId5"/>
    <sheet name="지출기록_1월" sheetId="6" r:id="rId6"/>
    <sheet name="지출기록_2월" sheetId="7" r:id="rId7"/>
    <sheet name="지출기록_3월" sheetId="8" r:id="rId8"/>
    <sheet name="지출기록_4월" sheetId="9" r:id="rId9"/>
    <sheet name="지출기록_5월" sheetId="10" r:id="rId10"/>
    <sheet name="지출기록_6월" sheetId="19" r:id="rId11"/>
    <sheet name="지출기록_7월" sheetId="11" r:id="rId12"/>
    <sheet name="지출기록_8월" sheetId="12" r:id="rId13"/>
    <sheet name="지출기록_9월" sheetId="20" r:id="rId14"/>
    <sheet name="지출기록_10월" sheetId="13" r:id="rId15"/>
    <sheet name="지출기록_11월" sheetId="21" r:id="rId16"/>
    <sheet name="지출기록_12월" sheetId="14" r:id="rId17"/>
    <sheet name="지출기록_양식" sheetId="18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3" l="1"/>
  <c r="B2" i="43" l="1"/>
  <c r="B5" i="43"/>
  <c r="D8" i="41"/>
  <c r="B3" i="43" s="1"/>
  <c r="B4" i="43" l="1"/>
  <c r="F9" i="41"/>
  <c r="K12" i="41" s="1"/>
  <c r="L12" i="41" s="1"/>
  <c r="P22" i="43"/>
  <c r="P13" i="43"/>
  <c r="P31" i="43"/>
  <c r="U36" i="43"/>
  <c r="U37" i="43"/>
  <c r="U9" i="43"/>
  <c r="U31" i="43"/>
  <c r="P16" i="43"/>
  <c r="U17" i="43"/>
  <c r="P11" i="43"/>
  <c r="P19" i="43"/>
  <c r="P27" i="43"/>
  <c r="U12" i="43"/>
  <c r="P9" i="43"/>
  <c r="P17" i="43"/>
  <c r="P37" i="43"/>
  <c r="U21" i="43"/>
  <c r="P26" i="43"/>
  <c r="P30" i="43"/>
  <c r="U11" i="43"/>
  <c r="U25" i="43"/>
  <c r="U20" i="43"/>
  <c r="P29" i="43"/>
  <c r="P32" i="43"/>
  <c r="U13" i="43"/>
  <c r="U27" i="43"/>
  <c r="U18" i="43"/>
  <c r="K30" i="43"/>
  <c r="K16" i="43"/>
  <c r="K24" i="43"/>
  <c r="K31" i="43"/>
  <c r="K17" i="43"/>
  <c r="K10" i="43"/>
  <c r="K26" i="43"/>
  <c r="K11" i="43"/>
  <c r="K19" i="43"/>
  <c r="K34" i="43"/>
  <c r="K12" i="43"/>
  <c r="K20" i="43"/>
  <c r="K28" i="43"/>
  <c r="K35" i="43"/>
  <c r="K13" i="43"/>
  <c r="K36" i="43"/>
  <c r="K8" i="43"/>
  <c r="K14" i="43"/>
  <c r="K22" i="43"/>
  <c r="K6" i="41"/>
  <c r="L6" i="41" s="1"/>
  <c r="K10" i="41"/>
  <c r="L10" i="41" s="1"/>
  <c r="K9" i="41"/>
  <c r="L9" i="41" s="1"/>
  <c r="K8" i="41"/>
  <c r="L8" i="41" s="1"/>
  <c r="K5" i="41"/>
  <c r="L5" i="41" s="1"/>
  <c r="K7" i="41"/>
  <c r="L7" i="41" s="1"/>
  <c r="K13" i="41"/>
  <c r="L13" i="41" s="1"/>
  <c r="K11" i="41"/>
  <c r="L11" i="41" s="1"/>
  <c r="K14" i="41"/>
  <c r="L14" i="41" s="1"/>
  <c r="M14" i="41" s="1"/>
  <c r="U32" i="43" l="1"/>
  <c r="P24" i="43"/>
  <c r="K29" i="43"/>
  <c r="K33" i="43"/>
  <c r="K32" i="43"/>
  <c r="K23" i="43"/>
  <c r="P20" i="43"/>
  <c r="P18" i="43"/>
  <c r="U34" i="43"/>
  <c r="P25" i="43"/>
  <c r="P35" i="43"/>
  <c r="U29" i="43"/>
  <c r="U19" i="43"/>
  <c r="U23" i="43"/>
  <c r="K21" i="43"/>
  <c r="K18" i="43"/>
  <c r="K25" i="43"/>
  <c r="K15" i="43"/>
  <c r="P12" i="43"/>
  <c r="P10" i="43"/>
  <c r="U26" i="43"/>
  <c r="U24" i="43"/>
  <c r="P15" i="43"/>
  <c r="U7" i="43"/>
  <c r="V7" i="43" s="1"/>
  <c r="K7" i="43"/>
  <c r="L7" i="43" s="1"/>
  <c r="L8" i="43" s="1"/>
  <c r="K27" i="43"/>
  <c r="K9" i="43"/>
  <c r="U35" i="43"/>
  <c r="U33" i="43"/>
  <c r="U10" i="43"/>
  <c r="P28" i="43"/>
  <c r="P36" i="43"/>
  <c r="U15" i="43"/>
  <c r="P34" i="43"/>
  <c r="P8" i="43"/>
  <c r="P14" i="43"/>
  <c r="K37" i="43"/>
  <c r="U51" i="43"/>
  <c r="U43" i="43"/>
  <c r="P49" i="43"/>
  <c r="P41" i="43"/>
  <c r="K47" i="43"/>
  <c r="K39" i="43"/>
  <c r="P7" i="43"/>
  <c r="Q7" i="43" s="1"/>
  <c r="P38" i="43"/>
  <c r="U47" i="43"/>
  <c r="P45" i="43"/>
  <c r="K43" i="43"/>
  <c r="U46" i="43"/>
  <c r="K50" i="43"/>
  <c r="P50" i="43"/>
  <c r="K40" i="43"/>
  <c r="U50" i="43"/>
  <c r="U42" i="43"/>
  <c r="P48" i="43"/>
  <c r="P40" i="43"/>
  <c r="K46" i="43"/>
  <c r="K38" i="43"/>
  <c r="P46" i="43"/>
  <c r="U38" i="43"/>
  <c r="K42" i="43"/>
  <c r="P23" i="43"/>
  <c r="K48" i="43"/>
  <c r="U49" i="43"/>
  <c r="U41" i="43"/>
  <c r="P47" i="43"/>
  <c r="P39" i="43"/>
  <c r="K45" i="43"/>
  <c r="U30" i="43"/>
  <c r="U40" i="43"/>
  <c r="U28" i="43"/>
  <c r="U39" i="43"/>
  <c r="K51" i="43"/>
  <c r="U8" i="43"/>
  <c r="P44" i="43"/>
  <c r="P33" i="43"/>
  <c r="U44" i="43"/>
  <c r="P21" i="43"/>
  <c r="U48" i="43"/>
  <c r="K44" i="43"/>
  <c r="K41" i="43"/>
  <c r="P42" i="43"/>
  <c r="U45" i="43"/>
  <c r="P51" i="43"/>
  <c r="P43" i="43"/>
  <c r="K49" i="43"/>
  <c r="U22" i="43"/>
  <c r="U16" i="43"/>
  <c r="U14" i="43"/>
  <c r="F13" i="43"/>
  <c r="F21" i="43"/>
  <c r="F29" i="43"/>
  <c r="F37" i="43"/>
  <c r="F45" i="43"/>
  <c r="F8" i="43"/>
  <c r="F14" i="43"/>
  <c r="F22" i="43"/>
  <c r="F30" i="43"/>
  <c r="F38" i="43"/>
  <c r="F46" i="43"/>
  <c r="F15" i="43"/>
  <c r="F23" i="43"/>
  <c r="F31" i="43"/>
  <c r="F39" i="43"/>
  <c r="F47" i="43"/>
  <c r="F9" i="43"/>
  <c r="F25" i="43"/>
  <c r="F41" i="43"/>
  <c r="F16" i="43"/>
  <c r="F24" i="43"/>
  <c r="F32" i="43"/>
  <c r="F40" i="43"/>
  <c r="F48" i="43"/>
  <c r="F17" i="43"/>
  <c r="F33" i="43"/>
  <c r="F49" i="43"/>
  <c r="F10" i="43"/>
  <c r="F18" i="43"/>
  <c r="F26" i="43"/>
  <c r="F34" i="43"/>
  <c r="F42" i="43"/>
  <c r="F50" i="43"/>
  <c r="F11" i="43"/>
  <c r="F19" i="43"/>
  <c r="F27" i="43"/>
  <c r="F35" i="43"/>
  <c r="F43" i="43"/>
  <c r="F51" i="43"/>
  <c r="F12" i="43"/>
  <c r="F20" i="43"/>
  <c r="F28" i="43"/>
  <c r="F36" i="43"/>
  <c r="F44" i="43"/>
  <c r="F7" i="43"/>
  <c r="G7" i="43" s="1"/>
  <c r="L9" i="43" l="1"/>
  <c r="L10" i="43" s="1"/>
  <c r="L11" i="43" s="1"/>
  <c r="L12" i="43" s="1"/>
  <c r="L13" i="43" s="1"/>
  <c r="L14" i="43" s="1"/>
  <c r="L15" i="43" s="1"/>
  <c r="L16" i="43" s="1"/>
  <c r="L17" i="43" s="1"/>
  <c r="L18" i="43" s="1"/>
  <c r="L19" i="43" s="1"/>
  <c r="L20" i="43" s="1"/>
  <c r="L21" i="43" s="1"/>
  <c r="L22" i="43" s="1"/>
  <c r="L23" i="43" s="1"/>
  <c r="L24" i="43" s="1"/>
  <c r="L25" i="43" s="1"/>
  <c r="L26" i="43" s="1"/>
  <c r="L27" i="43" s="1"/>
  <c r="L28" i="43" s="1"/>
  <c r="L29" i="43" s="1"/>
  <c r="L30" i="43" s="1"/>
  <c r="L31" i="43" s="1"/>
  <c r="L32" i="43" s="1"/>
  <c r="L33" i="43" s="1"/>
  <c r="L34" i="43" s="1"/>
  <c r="L35" i="43" s="1"/>
  <c r="L36" i="43" s="1"/>
  <c r="L37" i="43" s="1"/>
  <c r="L38" i="43" s="1"/>
  <c r="L39" i="43" s="1"/>
  <c r="L40" i="43" s="1"/>
  <c r="L41" i="43" s="1"/>
  <c r="L42" i="43" s="1"/>
  <c r="L43" i="43" s="1"/>
  <c r="L44" i="43" s="1"/>
  <c r="L45" i="43" s="1"/>
  <c r="L46" i="43" s="1"/>
  <c r="L47" i="43" s="1"/>
  <c r="L48" i="43" s="1"/>
  <c r="L49" i="43" s="1"/>
  <c r="L50" i="43" s="1"/>
  <c r="L51" i="43" s="1"/>
  <c r="V8" i="43"/>
  <c r="V9" i="43" s="1"/>
  <c r="V10" i="43" s="1"/>
  <c r="V11" i="43" s="1"/>
  <c r="V12" i="43" s="1"/>
  <c r="V13" i="43" s="1"/>
  <c r="V14" i="43" s="1"/>
  <c r="V15" i="43" s="1"/>
  <c r="V16" i="43" s="1"/>
  <c r="V17" i="43" s="1"/>
  <c r="V18" i="43" s="1"/>
  <c r="V19" i="43" s="1"/>
  <c r="V20" i="43" s="1"/>
  <c r="V21" i="43" s="1"/>
  <c r="V22" i="43" s="1"/>
  <c r="V23" i="43" s="1"/>
  <c r="V24" i="43" s="1"/>
  <c r="V25" i="43" s="1"/>
  <c r="V26" i="43" s="1"/>
  <c r="V27" i="43" s="1"/>
  <c r="V28" i="43" s="1"/>
  <c r="V29" i="43" s="1"/>
  <c r="V30" i="43" s="1"/>
  <c r="V31" i="43" s="1"/>
  <c r="V32" i="43" s="1"/>
  <c r="V33" i="43" s="1"/>
  <c r="V34" i="43" s="1"/>
  <c r="V35" i="43" s="1"/>
  <c r="V36" i="43" s="1"/>
  <c r="V37" i="43" s="1"/>
  <c r="V38" i="43" s="1"/>
  <c r="V39" i="43" s="1"/>
  <c r="V40" i="43" s="1"/>
  <c r="V41" i="43" s="1"/>
  <c r="V42" i="43" s="1"/>
  <c r="V43" i="43" s="1"/>
  <c r="V44" i="43" s="1"/>
  <c r="V45" i="43" s="1"/>
  <c r="V46" i="43" s="1"/>
  <c r="V47" i="43" s="1"/>
  <c r="V48" i="43" s="1"/>
  <c r="V49" i="43" s="1"/>
  <c r="V50" i="43" s="1"/>
  <c r="V51" i="43" s="1"/>
  <c r="Q8" i="43"/>
  <c r="Q9" i="43" s="1"/>
  <c r="Q10" i="43" s="1"/>
  <c r="Q11" i="43" s="1"/>
  <c r="Q12" i="43" s="1"/>
  <c r="Q13" i="43" s="1"/>
  <c r="Q14" i="43" s="1"/>
  <c r="Q15" i="43" s="1"/>
  <c r="Q16" i="43" s="1"/>
  <c r="Q17" i="43" s="1"/>
  <c r="Q18" i="43" s="1"/>
  <c r="Q19" i="43" s="1"/>
  <c r="Q20" i="43" s="1"/>
  <c r="Q21" i="43" s="1"/>
  <c r="Q22" i="43" s="1"/>
  <c r="Q23" i="43" s="1"/>
  <c r="Q24" i="43" s="1"/>
  <c r="Q25" i="43" s="1"/>
  <c r="Q26" i="43" s="1"/>
  <c r="Q27" i="43" s="1"/>
  <c r="Q28" i="43" s="1"/>
  <c r="Q29" i="43" s="1"/>
  <c r="Q30" i="43" s="1"/>
  <c r="Q31" i="43" s="1"/>
  <c r="Q32" i="43" s="1"/>
  <c r="Q33" i="43" s="1"/>
  <c r="Q34" i="43" s="1"/>
  <c r="Q35" i="43" s="1"/>
  <c r="Q36" i="43" s="1"/>
  <c r="Q37" i="43" s="1"/>
  <c r="Q38" i="43" s="1"/>
  <c r="Q39" i="43" s="1"/>
  <c r="Q40" i="43" s="1"/>
  <c r="Q41" i="43" s="1"/>
  <c r="Q42" i="43" s="1"/>
  <c r="Q43" i="43" s="1"/>
  <c r="Q44" i="43" s="1"/>
  <c r="Q45" i="43" s="1"/>
  <c r="Q46" i="43" s="1"/>
  <c r="Q47" i="43" s="1"/>
  <c r="Q48" i="43" s="1"/>
  <c r="Q49" i="43" s="1"/>
  <c r="Q50" i="43" s="1"/>
  <c r="Q51" i="43" s="1"/>
  <c r="G8" i="43"/>
  <c r="G9" i="43" s="1"/>
  <c r="G10" i="43" s="1"/>
  <c r="G11" i="43" s="1"/>
  <c r="G12" i="43" s="1"/>
  <c r="G13" i="43" s="1"/>
  <c r="G14" i="43" s="1"/>
  <c r="G15" i="43" s="1"/>
  <c r="G16" i="43" s="1"/>
  <c r="G17" i="43" s="1"/>
  <c r="G18" i="43" s="1"/>
  <c r="G19" i="43" s="1"/>
  <c r="G20" i="43" s="1"/>
  <c r="G21" i="43" s="1"/>
  <c r="G22" i="43" s="1"/>
  <c r="G23" i="43" s="1"/>
  <c r="G24" i="43" s="1"/>
  <c r="G25" i="43" s="1"/>
  <c r="G26" i="43" s="1"/>
  <c r="G27" i="43" s="1"/>
  <c r="G28" i="43" s="1"/>
  <c r="G29" i="43" s="1"/>
  <c r="G30" i="43" s="1"/>
  <c r="G31" i="43" s="1"/>
  <c r="G32" i="43" s="1"/>
  <c r="G33" i="43" s="1"/>
  <c r="G34" i="43" s="1"/>
  <c r="G35" i="43" s="1"/>
  <c r="G36" i="43" s="1"/>
  <c r="G37" i="43" s="1"/>
  <c r="G38" i="43" s="1"/>
  <c r="G39" i="43" s="1"/>
  <c r="G40" i="43" s="1"/>
  <c r="G41" i="43" s="1"/>
  <c r="G42" i="43" s="1"/>
  <c r="G43" i="43" s="1"/>
  <c r="G44" i="43" s="1"/>
  <c r="G45" i="43" s="1"/>
  <c r="G46" i="43" s="1"/>
  <c r="G47" i="43" s="1"/>
  <c r="G48" i="43" s="1"/>
  <c r="G49" i="43" s="1"/>
  <c r="G50" i="43" s="1"/>
  <c r="G51" i="43" s="1"/>
  <c r="B9" i="1" l="1"/>
  <c r="B8" i="1" l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7" i="1"/>
  <c r="B2" i="1"/>
  <c r="A1" i="3"/>
  <c r="B3" i="3" s="1"/>
  <c r="L157" i="1" l="1"/>
  <c r="L154" i="1"/>
  <c r="L156" i="1"/>
  <c r="L155" i="1"/>
  <c r="L153" i="1"/>
  <c r="B2" i="3"/>
  <c r="B17" i="3"/>
  <c r="B7" i="3"/>
  <c r="B25" i="3"/>
  <c r="B24" i="3"/>
  <c r="B8" i="3"/>
  <c r="B23" i="3"/>
  <c r="B15" i="3"/>
  <c r="B22" i="3"/>
  <c r="B14" i="3"/>
  <c r="B6" i="3"/>
  <c r="B18" i="3"/>
  <c r="B5" i="3"/>
  <c r="B10" i="3"/>
  <c r="B9" i="3"/>
  <c r="B16" i="3"/>
  <c r="B21" i="3"/>
  <c r="B13" i="3"/>
  <c r="B20" i="3"/>
  <c r="B12" i="3"/>
  <c r="B4" i="3"/>
  <c r="B19" i="3"/>
  <c r="B11" i="3"/>
  <c r="B1" i="19" l="1"/>
  <c r="B1" i="10"/>
  <c r="B1" i="9"/>
  <c r="B1" i="8"/>
  <c r="E7" i="8" s="1"/>
  <c r="B1" i="7"/>
  <c r="B1" i="6"/>
  <c r="B1" i="12"/>
  <c r="B1" i="11"/>
  <c r="B1" i="20"/>
  <c r="B1" i="13"/>
  <c r="B1" i="21"/>
  <c r="B1" i="14"/>
  <c r="E231" i="12" l="1"/>
  <c r="E230" i="12"/>
  <c r="E302" i="21" l="1"/>
  <c r="E301" i="21"/>
  <c r="E300" i="21"/>
  <c r="E299" i="21"/>
  <c r="E298" i="21"/>
  <c r="E297" i="21"/>
  <c r="E296" i="21"/>
  <c r="E295" i="21"/>
  <c r="E294" i="21"/>
  <c r="E293" i="21"/>
  <c r="E292" i="21"/>
  <c r="E291" i="21"/>
  <c r="E290" i="21"/>
  <c r="E289" i="21"/>
  <c r="E288" i="21"/>
  <c r="E287" i="21"/>
  <c r="E286" i="21"/>
  <c r="E285" i="21"/>
  <c r="E284" i="21"/>
  <c r="E283" i="21"/>
  <c r="E282" i="21"/>
  <c r="E281" i="21"/>
  <c r="E280" i="21"/>
  <c r="E279" i="21"/>
  <c r="E278" i="21"/>
  <c r="E277" i="21"/>
  <c r="E276" i="21"/>
  <c r="E275" i="21"/>
  <c r="E274" i="21"/>
  <c r="E273" i="21"/>
  <c r="E272" i="21"/>
  <c r="E271" i="21"/>
  <c r="E270" i="21"/>
  <c r="E269" i="21"/>
  <c r="E268" i="21"/>
  <c r="E267" i="21"/>
  <c r="E266" i="21"/>
  <c r="E265" i="21"/>
  <c r="E264" i="21"/>
  <c r="E263" i="21"/>
  <c r="E262" i="21"/>
  <c r="E261" i="21"/>
  <c r="E260" i="21"/>
  <c r="E259" i="21"/>
  <c r="E258" i="21"/>
  <c r="E257" i="21"/>
  <c r="E256" i="21"/>
  <c r="E255" i="21"/>
  <c r="E254" i="21"/>
  <c r="E253" i="21"/>
  <c r="E252" i="21"/>
  <c r="E251" i="21"/>
  <c r="E250" i="21"/>
  <c r="E249" i="21"/>
  <c r="E248" i="21"/>
  <c r="E247" i="21"/>
  <c r="E246" i="21"/>
  <c r="E245" i="21"/>
  <c r="E244" i="21"/>
  <c r="E243" i="21"/>
  <c r="E242" i="21"/>
  <c r="E241" i="21"/>
  <c r="E240" i="21"/>
  <c r="E239" i="21"/>
  <c r="E238" i="21"/>
  <c r="E237" i="21"/>
  <c r="E236" i="21"/>
  <c r="E235" i="21"/>
  <c r="E234" i="21"/>
  <c r="E233" i="21"/>
  <c r="E232" i="21"/>
  <c r="E231" i="21"/>
  <c r="E230" i="21"/>
  <c r="E229" i="21"/>
  <c r="E228" i="21"/>
  <c r="E227" i="21"/>
  <c r="E226" i="21"/>
  <c r="E225" i="21"/>
  <c r="E224" i="21"/>
  <c r="E223" i="21"/>
  <c r="E222" i="21"/>
  <c r="E221" i="21"/>
  <c r="E220" i="21"/>
  <c r="E219" i="21"/>
  <c r="E218" i="21"/>
  <c r="E217" i="21"/>
  <c r="E216" i="21"/>
  <c r="E215" i="21"/>
  <c r="E214" i="21"/>
  <c r="E213" i="21"/>
  <c r="E212" i="21"/>
  <c r="E211" i="21"/>
  <c r="E210" i="21"/>
  <c r="E209" i="21"/>
  <c r="E208" i="21"/>
  <c r="E207" i="21"/>
  <c r="E206" i="21"/>
  <c r="E205" i="21"/>
  <c r="E204" i="21"/>
  <c r="E203" i="21"/>
  <c r="E202" i="21"/>
  <c r="E201" i="21"/>
  <c r="E200" i="21"/>
  <c r="E199" i="21"/>
  <c r="E198" i="21"/>
  <c r="E197" i="21"/>
  <c r="E196" i="21"/>
  <c r="E195" i="21"/>
  <c r="E194" i="21"/>
  <c r="E193" i="21"/>
  <c r="E192" i="21"/>
  <c r="E191" i="21"/>
  <c r="E190" i="21"/>
  <c r="E189" i="21"/>
  <c r="E188" i="21"/>
  <c r="E187" i="21"/>
  <c r="E186" i="21"/>
  <c r="E185" i="21"/>
  <c r="E184" i="21"/>
  <c r="E183" i="21"/>
  <c r="E182" i="21"/>
  <c r="E181" i="21"/>
  <c r="E180" i="21"/>
  <c r="E179" i="21"/>
  <c r="E178" i="21"/>
  <c r="E177" i="21"/>
  <c r="E176" i="21"/>
  <c r="E175" i="21"/>
  <c r="E174" i="21"/>
  <c r="E173" i="21"/>
  <c r="E172" i="21"/>
  <c r="E171" i="21"/>
  <c r="E170" i="21"/>
  <c r="E169" i="21"/>
  <c r="E168" i="21"/>
  <c r="E167" i="21"/>
  <c r="E166" i="21"/>
  <c r="E165" i="21"/>
  <c r="E164" i="21"/>
  <c r="E163" i="21"/>
  <c r="E162" i="21"/>
  <c r="E161" i="21"/>
  <c r="E160" i="21"/>
  <c r="E159" i="21"/>
  <c r="E158" i="21"/>
  <c r="E157" i="21"/>
  <c r="E156" i="21"/>
  <c r="E155" i="21"/>
  <c r="E154" i="21"/>
  <c r="E153" i="21"/>
  <c r="E152" i="21"/>
  <c r="E151" i="21"/>
  <c r="E150" i="21"/>
  <c r="E149" i="21"/>
  <c r="E148" i="21"/>
  <c r="E147" i="21"/>
  <c r="E146" i="21"/>
  <c r="E145" i="21"/>
  <c r="E144" i="21"/>
  <c r="E143" i="21"/>
  <c r="E142" i="21"/>
  <c r="E141" i="21"/>
  <c r="E140" i="21"/>
  <c r="E139" i="21"/>
  <c r="E138" i="21"/>
  <c r="E137" i="21"/>
  <c r="E136" i="21"/>
  <c r="E135" i="21"/>
  <c r="E134" i="21"/>
  <c r="E133" i="21"/>
  <c r="E132" i="21"/>
  <c r="E131" i="21"/>
  <c r="E130" i="21"/>
  <c r="E129" i="21"/>
  <c r="E128" i="21"/>
  <c r="E127" i="21"/>
  <c r="E126" i="21"/>
  <c r="E125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111" i="21"/>
  <c r="E110" i="21"/>
  <c r="E109" i="21"/>
  <c r="E108" i="21"/>
  <c r="E107" i="21"/>
  <c r="E106" i="21"/>
  <c r="E105" i="21"/>
  <c r="E104" i="21"/>
  <c r="E103" i="21"/>
  <c r="E102" i="21"/>
  <c r="E101" i="21"/>
  <c r="E100" i="21"/>
  <c r="E99" i="21"/>
  <c r="E98" i="2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302" i="20"/>
  <c r="E301" i="20"/>
  <c r="E300" i="20"/>
  <c r="E299" i="20"/>
  <c r="E298" i="20"/>
  <c r="E297" i="20"/>
  <c r="E296" i="20"/>
  <c r="E295" i="20"/>
  <c r="E294" i="20"/>
  <c r="E293" i="20"/>
  <c r="E292" i="20"/>
  <c r="E291" i="20"/>
  <c r="E290" i="20"/>
  <c r="E289" i="20"/>
  <c r="E288" i="20"/>
  <c r="E287" i="20"/>
  <c r="E286" i="20"/>
  <c r="E285" i="20"/>
  <c r="E284" i="20"/>
  <c r="E283" i="20"/>
  <c r="E282" i="20"/>
  <c r="E281" i="20"/>
  <c r="E280" i="20"/>
  <c r="E279" i="20"/>
  <c r="E278" i="20"/>
  <c r="E277" i="20"/>
  <c r="E276" i="20"/>
  <c r="E275" i="20"/>
  <c r="E274" i="20"/>
  <c r="E273" i="20"/>
  <c r="E272" i="20"/>
  <c r="E271" i="20"/>
  <c r="E270" i="20"/>
  <c r="E269" i="20"/>
  <c r="E268" i="20"/>
  <c r="E267" i="20"/>
  <c r="E266" i="20"/>
  <c r="E265" i="20"/>
  <c r="E264" i="20"/>
  <c r="E263" i="20"/>
  <c r="E262" i="20"/>
  <c r="E261" i="20"/>
  <c r="E260" i="20"/>
  <c r="E259" i="20"/>
  <c r="E258" i="20"/>
  <c r="E257" i="20"/>
  <c r="E256" i="20"/>
  <c r="E255" i="20"/>
  <c r="E254" i="20"/>
  <c r="E253" i="20"/>
  <c r="E252" i="20"/>
  <c r="E251" i="20"/>
  <c r="E250" i="20"/>
  <c r="E249" i="20"/>
  <c r="E248" i="20"/>
  <c r="E247" i="20"/>
  <c r="E246" i="20"/>
  <c r="E245" i="20"/>
  <c r="E244" i="20"/>
  <c r="E243" i="20"/>
  <c r="E242" i="20"/>
  <c r="E241" i="20"/>
  <c r="E240" i="20"/>
  <c r="E239" i="20"/>
  <c r="E238" i="20"/>
  <c r="E237" i="20"/>
  <c r="E236" i="20"/>
  <c r="E235" i="20"/>
  <c r="E234" i="20"/>
  <c r="E233" i="20"/>
  <c r="E232" i="20"/>
  <c r="E231" i="20"/>
  <c r="E230" i="20"/>
  <c r="E229" i="20"/>
  <c r="E228" i="20"/>
  <c r="E227" i="20"/>
  <c r="E226" i="20"/>
  <c r="E225" i="20"/>
  <c r="E224" i="20"/>
  <c r="E223" i="20"/>
  <c r="E222" i="20"/>
  <c r="E221" i="20"/>
  <c r="E220" i="20"/>
  <c r="E219" i="20"/>
  <c r="E218" i="20"/>
  <c r="E217" i="20"/>
  <c r="E216" i="20"/>
  <c r="E215" i="20"/>
  <c r="E214" i="20"/>
  <c r="E213" i="20"/>
  <c r="E212" i="20"/>
  <c r="E211" i="20"/>
  <c r="E210" i="20"/>
  <c r="E209" i="20"/>
  <c r="E208" i="20"/>
  <c r="E207" i="20"/>
  <c r="E206" i="20"/>
  <c r="E205" i="20"/>
  <c r="E204" i="20"/>
  <c r="E203" i="20"/>
  <c r="E202" i="20"/>
  <c r="E201" i="20"/>
  <c r="E200" i="20"/>
  <c r="E199" i="20"/>
  <c r="E198" i="20"/>
  <c r="E197" i="20"/>
  <c r="E196" i="20"/>
  <c r="E195" i="20"/>
  <c r="E194" i="20"/>
  <c r="E193" i="20"/>
  <c r="E192" i="20"/>
  <c r="E191" i="20"/>
  <c r="E190" i="20"/>
  <c r="E189" i="20"/>
  <c r="E188" i="20"/>
  <c r="E187" i="20"/>
  <c r="E186" i="20"/>
  <c r="E185" i="20"/>
  <c r="E184" i="20"/>
  <c r="E183" i="20"/>
  <c r="E182" i="20"/>
  <c r="E181" i="20"/>
  <c r="E180" i="20"/>
  <c r="E179" i="20"/>
  <c r="E178" i="20"/>
  <c r="E177" i="20"/>
  <c r="E176" i="20"/>
  <c r="E175" i="20"/>
  <c r="E174" i="20"/>
  <c r="E173" i="20"/>
  <c r="E172" i="20"/>
  <c r="E171" i="20"/>
  <c r="E170" i="20"/>
  <c r="E169" i="20"/>
  <c r="E168" i="20"/>
  <c r="E167" i="20"/>
  <c r="E166" i="20"/>
  <c r="E165" i="20"/>
  <c r="E164" i="20"/>
  <c r="E163" i="20"/>
  <c r="E162" i="20"/>
  <c r="E161" i="20"/>
  <c r="E160" i="20"/>
  <c r="E159" i="20"/>
  <c r="E158" i="20"/>
  <c r="E157" i="20"/>
  <c r="E156" i="20"/>
  <c r="E155" i="20"/>
  <c r="E154" i="20"/>
  <c r="E153" i="20"/>
  <c r="E152" i="20"/>
  <c r="E151" i="20"/>
  <c r="E150" i="20"/>
  <c r="E149" i="20"/>
  <c r="E148" i="20"/>
  <c r="E147" i="20"/>
  <c r="E146" i="20"/>
  <c r="E145" i="20"/>
  <c r="E144" i="20"/>
  <c r="E143" i="20"/>
  <c r="E142" i="20"/>
  <c r="E141" i="20"/>
  <c r="E140" i="20"/>
  <c r="E139" i="20"/>
  <c r="E138" i="20"/>
  <c r="E137" i="20"/>
  <c r="E136" i="20"/>
  <c r="E135" i="20"/>
  <c r="E134" i="20"/>
  <c r="E133" i="20"/>
  <c r="E132" i="20"/>
  <c r="E131" i="20"/>
  <c r="E130" i="20"/>
  <c r="E129" i="20"/>
  <c r="E128" i="20"/>
  <c r="E127" i="20"/>
  <c r="E126" i="20"/>
  <c r="E125" i="20"/>
  <c r="E124" i="20"/>
  <c r="E123" i="20"/>
  <c r="E122" i="20"/>
  <c r="E121" i="20"/>
  <c r="E120" i="20"/>
  <c r="E119" i="20"/>
  <c r="E118" i="20"/>
  <c r="E117" i="20"/>
  <c r="E116" i="20"/>
  <c r="E115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302" i="19"/>
  <c r="E301" i="19"/>
  <c r="E300" i="19"/>
  <c r="E299" i="19"/>
  <c r="E298" i="19"/>
  <c r="E297" i="19"/>
  <c r="E296" i="19"/>
  <c r="E295" i="19"/>
  <c r="E294" i="19"/>
  <c r="E293" i="19"/>
  <c r="E292" i="19"/>
  <c r="E291" i="19"/>
  <c r="E290" i="19"/>
  <c r="E289" i="19"/>
  <c r="E288" i="19"/>
  <c r="E287" i="19"/>
  <c r="E286" i="19"/>
  <c r="E285" i="19"/>
  <c r="E284" i="19"/>
  <c r="E283" i="19"/>
  <c r="E282" i="19"/>
  <c r="E281" i="19"/>
  <c r="E280" i="19"/>
  <c r="E279" i="19"/>
  <c r="E278" i="19"/>
  <c r="E277" i="19"/>
  <c r="E276" i="19"/>
  <c r="E275" i="19"/>
  <c r="E274" i="19"/>
  <c r="E273" i="19"/>
  <c r="E272" i="19"/>
  <c r="E271" i="19"/>
  <c r="E270" i="19"/>
  <c r="E269" i="19"/>
  <c r="E268" i="19"/>
  <c r="E267" i="19"/>
  <c r="E266" i="19"/>
  <c r="E265" i="19"/>
  <c r="E264" i="19"/>
  <c r="E263" i="19"/>
  <c r="E262" i="19"/>
  <c r="E261" i="19"/>
  <c r="E260" i="19"/>
  <c r="E259" i="19"/>
  <c r="E258" i="19"/>
  <c r="E257" i="19"/>
  <c r="E256" i="19"/>
  <c r="E255" i="19"/>
  <c r="E254" i="19"/>
  <c r="E253" i="19"/>
  <c r="E252" i="19"/>
  <c r="E251" i="19"/>
  <c r="E250" i="19"/>
  <c r="E249" i="19"/>
  <c r="E248" i="19"/>
  <c r="E247" i="19"/>
  <c r="E246" i="19"/>
  <c r="E245" i="19"/>
  <c r="E244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E229" i="19"/>
  <c r="E228" i="19"/>
  <c r="E227" i="19"/>
  <c r="E226" i="19"/>
  <c r="E225" i="19"/>
  <c r="E224" i="19"/>
  <c r="E223" i="19"/>
  <c r="E222" i="19"/>
  <c r="E221" i="19"/>
  <c r="E220" i="19"/>
  <c r="E219" i="19"/>
  <c r="E218" i="19"/>
  <c r="E217" i="19"/>
  <c r="E216" i="19"/>
  <c r="E215" i="19"/>
  <c r="E214" i="19"/>
  <c r="E213" i="19"/>
  <c r="E212" i="19"/>
  <c r="E211" i="19"/>
  <c r="E210" i="19"/>
  <c r="E209" i="19"/>
  <c r="E208" i="19"/>
  <c r="E207" i="19"/>
  <c r="E206" i="19"/>
  <c r="E205" i="19"/>
  <c r="E204" i="19"/>
  <c r="E203" i="19"/>
  <c r="E202" i="19"/>
  <c r="E201" i="19"/>
  <c r="E200" i="19"/>
  <c r="E199" i="19"/>
  <c r="E198" i="19"/>
  <c r="E197" i="19"/>
  <c r="E196" i="19"/>
  <c r="E195" i="19"/>
  <c r="E194" i="19"/>
  <c r="E193" i="19"/>
  <c r="E192" i="19"/>
  <c r="E191" i="19"/>
  <c r="E190" i="19"/>
  <c r="E189" i="19"/>
  <c r="E188" i="19"/>
  <c r="E187" i="19"/>
  <c r="E186" i="19"/>
  <c r="E185" i="19"/>
  <c r="E184" i="19"/>
  <c r="E183" i="19"/>
  <c r="E182" i="19"/>
  <c r="E181" i="19"/>
  <c r="E180" i="19"/>
  <c r="E179" i="19"/>
  <c r="E178" i="19"/>
  <c r="E177" i="19"/>
  <c r="E176" i="19"/>
  <c r="E175" i="19"/>
  <c r="E174" i="19"/>
  <c r="E173" i="19"/>
  <c r="E172" i="19"/>
  <c r="E171" i="19"/>
  <c r="E170" i="19"/>
  <c r="E169" i="19"/>
  <c r="E168" i="19"/>
  <c r="E167" i="19"/>
  <c r="E166" i="19"/>
  <c r="E165" i="19"/>
  <c r="E164" i="19"/>
  <c r="E163" i="19"/>
  <c r="E162" i="19"/>
  <c r="E161" i="19"/>
  <c r="E160" i="19"/>
  <c r="E159" i="19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  <c r="E145" i="19"/>
  <c r="E144" i="19"/>
  <c r="E143" i="19"/>
  <c r="E142" i="19"/>
  <c r="E141" i="19"/>
  <c r="E140" i="19"/>
  <c r="E139" i="19"/>
  <c r="E138" i="19"/>
  <c r="E137" i="19"/>
  <c r="E136" i="19"/>
  <c r="E135" i="19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298" i="18"/>
  <c r="E297" i="18"/>
  <c r="E296" i="18"/>
  <c r="E295" i="18"/>
  <c r="E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312" i="13"/>
  <c r="E311" i="13"/>
  <c r="E310" i="13"/>
  <c r="E309" i="13"/>
  <c r="E308" i="13"/>
  <c r="E307" i="13"/>
  <c r="E306" i="13"/>
  <c r="E305" i="13"/>
  <c r="E304" i="13"/>
  <c r="E303" i="13"/>
  <c r="E302" i="13"/>
  <c r="E301" i="13"/>
  <c r="E300" i="13"/>
  <c r="E299" i="13"/>
  <c r="E298" i="13"/>
  <c r="E297" i="13"/>
  <c r="E296" i="13"/>
  <c r="E295" i="13"/>
  <c r="E294" i="13"/>
  <c r="E293" i="13"/>
  <c r="E292" i="13"/>
  <c r="E291" i="13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6" i="8"/>
  <c r="E5" i="8"/>
  <c r="E4" i="8"/>
  <c r="E3" i="8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" i="6"/>
  <c r="O3" i="1"/>
  <c r="O2" i="1"/>
  <c r="E8" i="1"/>
  <c r="F8" i="1" s="1"/>
  <c r="G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G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G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7" i="1"/>
  <c r="F7" i="1" s="1"/>
  <c r="G359" i="1" l="1"/>
  <c r="H359" i="1" s="1"/>
  <c r="L359" i="1" s="1"/>
  <c r="G303" i="1"/>
  <c r="H303" i="1" s="1"/>
  <c r="L303" i="1" s="1"/>
  <c r="G247" i="1"/>
  <c r="H247" i="1" s="1"/>
  <c r="L247" i="1" s="1"/>
  <c r="G191" i="1"/>
  <c r="H191" i="1" s="1"/>
  <c r="L191" i="1" s="1"/>
  <c r="G151" i="1"/>
  <c r="H151" i="1" s="1"/>
  <c r="G71" i="1"/>
  <c r="H71" i="1" s="1"/>
  <c r="G39" i="1"/>
  <c r="H39" i="1" s="1"/>
  <c r="G251" i="1"/>
  <c r="H251" i="1" s="1"/>
  <c r="L251" i="1" s="1"/>
  <c r="G59" i="1"/>
  <c r="H59" i="1" s="1"/>
  <c r="G358" i="1"/>
  <c r="H358" i="1" s="1"/>
  <c r="L358" i="1" s="1"/>
  <c r="G326" i="1"/>
  <c r="H326" i="1" s="1"/>
  <c r="L326" i="1" s="1"/>
  <c r="G286" i="1"/>
  <c r="H286" i="1" s="1"/>
  <c r="L286" i="1" s="1"/>
  <c r="G262" i="1"/>
  <c r="H262" i="1" s="1"/>
  <c r="L262" i="1" s="1"/>
  <c r="G230" i="1"/>
  <c r="H230" i="1" s="1"/>
  <c r="L230" i="1" s="1"/>
  <c r="G214" i="1"/>
  <c r="H214" i="1" s="1"/>
  <c r="L214" i="1" s="1"/>
  <c r="G206" i="1"/>
  <c r="H206" i="1" s="1"/>
  <c r="L206" i="1" s="1"/>
  <c r="G198" i="1"/>
  <c r="H198" i="1" s="1"/>
  <c r="L198" i="1" s="1"/>
  <c r="G190" i="1"/>
  <c r="H190" i="1" s="1"/>
  <c r="L190" i="1" s="1"/>
  <c r="G182" i="1"/>
  <c r="H182" i="1" s="1"/>
  <c r="L182" i="1" s="1"/>
  <c r="G174" i="1"/>
  <c r="H174" i="1" s="1"/>
  <c r="L174" i="1" s="1"/>
  <c r="G166" i="1"/>
  <c r="H166" i="1" s="1"/>
  <c r="L166" i="1" s="1"/>
  <c r="G158" i="1"/>
  <c r="H158" i="1" s="1"/>
  <c r="L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7" i="1"/>
  <c r="H7" i="1" s="1"/>
  <c r="G346" i="1"/>
  <c r="H346" i="1" s="1"/>
  <c r="L346" i="1" s="1"/>
  <c r="G314" i="1"/>
  <c r="H314" i="1" s="1"/>
  <c r="L314" i="1" s="1"/>
  <c r="G282" i="1"/>
  <c r="H282" i="1" s="1"/>
  <c r="L282" i="1" s="1"/>
  <c r="G250" i="1"/>
  <c r="H250" i="1" s="1"/>
  <c r="L250" i="1" s="1"/>
  <c r="G218" i="1"/>
  <c r="H218" i="1" s="1"/>
  <c r="L218" i="1" s="1"/>
  <c r="G186" i="1"/>
  <c r="H186" i="1" s="1"/>
  <c r="L186" i="1" s="1"/>
  <c r="G154" i="1"/>
  <c r="H154" i="1" s="1"/>
  <c r="G122" i="1"/>
  <c r="H122" i="1" s="1"/>
  <c r="G90" i="1"/>
  <c r="H90" i="1" s="1"/>
  <c r="G58" i="1"/>
  <c r="H58" i="1" s="1"/>
  <c r="G26" i="1"/>
  <c r="H26" i="1" s="1"/>
  <c r="G79" i="1"/>
  <c r="H79" i="1" s="1"/>
  <c r="G47" i="1"/>
  <c r="H47" i="1" s="1"/>
  <c r="G347" i="1"/>
  <c r="H347" i="1" s="1"/>
  <c r="L347" i="1" s="1"/>
  <c r="G187" i="1"/>
  <c r="H187" i="1" s="1"/>
  <c r="L187" i="1" s="1"/>
  <c r="G350" i="1"/>
  <c r="H350" i="1" s="1"/>
  <c r="L350" i="1" s="1"/>
  <c r="G302" i="1"/>
  <c r="H302" i="1" s="1"/>
  <c r="L302" i="1" s="1"/>
  <c r="G270" i="1"/>
  <c r="H270" i="1" s="1"/>
  <c r="L270" i="1" s="1"/>
  <c r="G365" i="1"/>
  <c r="H365" i="1" s="1"/>
  <c r="L365" i="1" s="1"/>
  <c r="G317" i="1"/>
  <c r="H317" i="1" s="1"/>
  <c r="L317" i="1" s="1"/>
  <c r="G277" i="1"/>
  <c r="H277" i="1" s="1"/>
  <c r="L277" i="1" s="1"/>
  <c r="G237" i="1"/>
  <c r="H237" i="1" s="1"/>
  <c r="L237" i="1" s="1"/>
  <c r="G205" i="1"/>
  <c r="H205" i="1" s="1"/>
  <c r="L205" i="1" s="1"/>
  <c r="G181" i="1"/>
  <c r="H181" i="1" s="1"/>
  <c r="L181" i="1" s="1"/>
  <c r="G173" i="1"/>
  <c r="H173" i="1" s="1"/>
  <c r="L173" i="1" s="1"/>
  <c r="G165" i="1"/>
  <c r="H165" i="1" s="1"/>
  <c r="L165" i="1" s="1"/>
  <c r="G157" i="1"/>
  <c r="H157" i="1" s="1"/>
  <c r="G149" i="1"/>
  <c r="H149" i="1" s="1"/>
  <c r="G141" i="1"/>
  <c r="H141" i="1" s="1"/>
  <c r="G133" i="1"/>
  <c r="H133" i="1" s="1"/>
  <c r="G125" i="1"/>
  <c r="H125" i="1" s="1"/>
  <c r="G117" i="1"/>
  <c r="H117" i="1" s="1"/>
  <c r="G109" i="1"/>
  <c r="H109" i="1" s="1"/>
  <c r="G101" i="1"/>
  <c r="H101" i="1" s="1"/>
  <c r="G93" i="1"/>
  <c r="H93" i="1" s="1"/>
  <c r="G85" i="1"/>
  <c r="H85" i="1" s="1"/>
  <c r="G77" i="1"/>
  <c r="H77" i="1" s="1"/>
  <c r="G69" i="1"/>
  <c r="H69" i="1" s="1"/>
  <c r="G61" i="1"/>
  <c r="H61" i="1" s="1"/>
  <c r="G53" i="1"/>
  <c r="H53" i="1" s="1"/>
  <c r="G45" i="1"/>
  <c r="H45" i="1" s="1"/>
  <c r="G37" i="1"/>
  <c r="H37" i="1" s="1"/>
  <c r="G29" i="1"/>
  <c r="H29" i="1" s="1"/>
  <c r="G21" i="1"/>
  <c r="H21" i="1" s="1"/>
  <c r="G13" i="1"/>
  <c r="H13" i="1" s="1"/>
  <c r="G371" i="1"/>
  <c r="H371" i="1" s="1"/>
  <c r="L371" i="1" s="1"/>
  <c r="G339" i="1"/>
  <c r="H339" i="1" s="1"/>
  <c r="L339" i="1" s="1"/>
  <c r="G307" i="1"/>
  <c r="H307" i="1" s="1"/>
  <c r="L307" i="1" s="1"/>
  <c r="G275" i="1"/>
  <c r="H275" i="1" s="1"/>
  <c r="L275" i="1" s="1"/>
  <c r="G243" i="1"/>
  <c r="H243" i="1" s="1"/>
  <c r="L243" i="1" s="1"/>
  <c r="G211" i="1"/>
  <c r="H211" i="1" s="1"/>
  <c r="L211" i="1" s="1"/>
  <c r="G179" i="1"/>
  <c r="H179" i="1" s="1"/>
  <c r="L179" i="1" s="1"/>
  <c r="G147" i="1"/>
  <c r="H147" i="1" s="1"/>
  <c r="G115" i="1"/>
  <c r="H115" i="1" s="1"/>
  <c r="G83" i="1"/>
  <c r="H83" i="1" s="1"/>
  <c r="G51" i="1"/>
  <c r="H51" i="1" s="1"/>
  <c r="G19" i="1"/>
  <c r="H19" i="1" s="1"/>
  <c r="G335" i="1"/>
  <c r="H335" i="1" s="1"/>
  <c r="L335" i="1" s="1"/>
  <c r="G319" i="1"/>
  <c r="H319" i="1" s="1"/>
  <c r="L319" i="1" s="1"/>
  <c r="G279" i="1"/>
  <c r="H279" i="1" s="1"/>
  <c r="L279" i="1" s="1"/>
  <c r="G231" i="1"/>
  <c r="H231" i="1" s="1"/>
  <c r="L231" i="1" s="1"/>
  <c r="G199" i="1"/>
  <c r="H199" i="1" s="1"/>
  <c r="L199" i="1" s="1"/>
  <c r="G135" i="1"/>
  <c r="H135" i="1" s="1"/>
  <c r="G95" i="1"/>
  <c r="H95" i="1" s="1"/>
  <c r="G15" i="1"/>
  <c r="H15" i="1" s="1"/>
  <c r="G219" i="1"/>
  <c r="H219" i="1" s="1"/>
  <c r="L219" i="1" s="1"/>
  <c r="G334" i="1"/>
  <c r="H334" i="1" s="1"/>
  <c r="L334" i="1" s="1"/>
  <c r="G294" i="1"/>
  <c r="H294" i="1" s="1"/>
  <c r="L294" i="1" s="1"/>
  <c r="G246" i="1"/>
  <c r="H246" i="1" s="1"/>
  <c r="L246" i="1" s="1"/>
  <c r="G357" i="1"/>
  <c r="H357" i="1" s="1"/>
  <c r="L357" i="1" s="1"/>
  <c r="G333" i="1"/>
  <c r="H333" i="1" s="1"/>
  <c r="L333" i="1" s="1"/>
  <c r="G301" i="1"/>
  <c r="H301" i="1" s="1"/>
  <c r="L301" i="1" s="1"/>
  <c r="G269" i="1"/>
  <c r="H269" i="1" s="1"/>
  <c r="L269" i="1" s="1"/>
  <c r="G245" i="1"/>
  <c r="H245" i="1" s="1"/>
  <c r="L245" i="1" s="1"/>
  <c r="G221" i="1"/>
  <c r="H221" i="1" s="1"/>
  <c r="L221" i="1" s="1"/>
  <c r="G189" i="1"/>
  <c r="H189" i="1" s="1"/>
  <c r="L189" i="1" s="1"/>
  <c r="G348" i="1"/>
  <c r="H348" i="1" s="1"/>
  <c r="L348" i="1" s="1"/>
  <c r="G332" i="1"/>
  <c r="H332" i="1" s="1"/>
  <c r="L332" i="1" s="1"/>
  <c r="G308" i="1"/>
  <c r="H308" i="1" s="1"/>
  <c r="L308" i="1" s="1"/>
  <c r="G268" i="1"/>
  <c r="H268" i="1" s="1"/>
  <c r="L268" i="1" s="1"/>
  <c r="G244" i="1"/>
  <c r="H244" i="1" s="1"/>
  <c r="L244" i="1" s="1"/>
  <c r="G228" i="1"/>
  <c r="H228" i="1" s="1"/>
  <c r="L228" i="1" s="1"/>
  <c r="G204" i="1"/>
  <c r="H204" i="1" s="1"/>
  <c r="L204" i="1" s="1"/>
  <c r="G180" i="1"/>
  <c r="H180" i="1" s="1"/>
  <c r="L180" i="1" s="1"/>
  <c r="G164" i="1"/>
  <c r="H164" i="1" s="1"/>
  <c r="L164" i="1" s="1"/>
  <c r="G140" i="1"/>
  <c r="H140" i="1" s="1"/>
  <c r="G100" i="1"/>
  <c r="H100" i="1" s="1"/>
  <c r="G92" i="1"/>
  <c r="H92" i="1" s="1"/>
  <c r="G68" i="1"/>
  <c r="H68" i="1" s="1"/>
  <c r="G60" i="1"/>
  <c r="H60" i="1" s="1"/>
  <c r="G52" i="1"/>
  <c r="H52" i="1" s="1"/>
  <c r="G44" i="1"/>
  <c r="H44" i="1" s="1"/>
  <c r="G36" i="1"/>
  <c r="H36" i="1" s="1"/>
  <c r="G28" i="1"/>
  <c r="H28" i="1" s="1"/>
  <c r="G20" i="1"/>
  <c r="H20" i="1" s="1"/>
  <c r="G12" i="1"/>
  <c r="H12" i="1" s="1"/>
  <c r="G370" i="1"/>
  <c r="H370" i="1" s="1"/>
  <c r="L370" i="1" s="1"/>
  <c r="G338" i="1"/>
  <c r="H338" i="1" s="1"/>
  <c r="L338" i="1" s="1"/>
  <c r="G306" i="1"/>
  <c r="H306" i="1" s="1"/>
  <c r="L306" i="1" s="1"/>
  <c r="G274" i="1"/>
  <c r="H274" i="1" s="1"/>
  <c r="L274" i="1" s="1"/>
  <c r="G242" i="1"/>
  <c r="H242" i="1" s="1"/>
  <c r="L242" i="1" s="1"/>
  <c r="G210" i="1"/>
  <c r="H210" i="1" s="1"/>
  <c r="L210" i="1" s="1"/>
  <c r="G178" i="1"/>
  <c r="H178" i="1" s="1"/>
  <c r="L178" i="1" s="1"/>
  <c r="G146" i="1"/>
  <c r="H146" i="1" s="1"/>
  <c r="G114" i="1"/>
  <c r="H114" i="1" s="1"/>
  <c r="G82" i="1"/>
  <c r="H82" i="1" s="1"/>
  <c r="G50" i="1"/>
  <c r="H50" i="1" s="1"/>
  <c r="G18" i="1"/>
  <c r="H18" i="1" s="1"/>
  <c r="G207" i="1"/>
  <c r="H207" i="1" s="1"/>
  <c r="L207" i="1" s="1"/>
  <c r="G119" i="1"/>
  <c r="H119" i="1" s="1"/>
  <c r="G123" i="1"/>
  <c r="H123" i="1" s="1"/>
  <c r="G366" i="1"/>
  <c r="H366" i="1" s="1"/>
  <c r="L366" i="1" s="1"/>
  <c r="G310" i="1"/>
  <c r="H310" i="1" s="1"/>
  <c r="L310" i="1" s="1"/>
  <c r="G278" i="1"/>
  <c r="H278" i="1" s="1"/>
  <c r="L278" i="1" s="1"/>
  <c r="G238" i="1"/>
  <c r="H238" i="1" s="1"/>
  <c r="L238" i="1" s="1"/>
  <c r="G349" i="1"/>
  <c r="H349" i="1" s="1"/>
  <c r="L349" i="1" s="1"/>
  <c r="G309" i="1"/>
  <c r="H309" i="1" s="1"/>
  <c r="L309" i="1" s="1"/>
  <c r="G285" i="1"/>
  <c r="H285" i="1" s="1"/>
  <c r="L285" i="1" s="1"/>
  <c r="G253" i="1"/>
  <c r="H253" i="1" s="1"/>
  <c r="L253" i="1" s="1"/>
  <c r="G197" i="1"/>
  <c r="H197" i="1" s="1"/>
  <c r="L197" i="1" s="1"/>
  <c r="G356" i="1"/>
  <c r="H356" i="1" s="1"/>
  <c r="L356" i="1" s="1"/>
  <c r="G340" i="1"/>
  <c r="H340" i="1" s="1"/>
  <c r="L340" i="1" s="1"/>
  <c r="G316" i="1"/>
  <c r="H316" i="1" s="1"/>
  <c r="L316" i="1" s="1"/>
  <c r="G292" i="1"/>
  <c r="H292" i="1" s="1"/>
  <c r="L292" i="1" s="1"/>
  <c r="G260" i="1"/>
  <c r="H260" i="1" s="1"/>
  <c r="L260" i="1" s="1"/>
  <c r="G236" i="1"/>
  <c r="H236" i="1" s="1"/>
  <c r="L236" i="1" s="1"/>
  <c r="G220" i="1"/>
  <c r="H220" i="1" s="1"/>
  <c r="L220" i="1" s="1"/>
  <c r="G196" i="1"/>
  <c r="H196" i="1" s="1"/>
  <c r="L196" i="1" s="1"/>
  <c r="G172" i="1"/>
  <c r="H172" i="1" s="1"/>
  <c r="L172" i="1" s="1"/>
  <c r="G148" i="1"/>
  <c r="H148" i="1" s="1"/>
  <c r="G124" i="1"/>
  <c r="H124" i="1" s="1"/>
  <c r="G108" i="1"/>
  <c r="H108" i="1" s="1"/>
  <c r="G76" i="1"/>
  <c r="H76" i="1" s="1"/>
  <c r="G363" i="1"/>
  <c r="H363" i="1" s="1"/>
  <c r="L363" i="1" s="1"/>
  <c r="G331" i="1"/>
  <c r="H331" i="1" s="1"/>
  <c r="L331" i="1" s="1"/>
  <c r="G299" i="1"/>
  <c r="H299" i="1" s="1"/>
  <c r="L299" i="1" s="1"/>
  <c r="G267" i="1"/>
  <c r="H267" i="1" s="1"/>
  <c r="L267" i="1" s="1"/>
  <c r="G235" i="1"/>
  <c r="H235" i="1" s="1"/>
  <c r="L235" i="1" s="1"/>
  <c r="G203" i="1"/>
  <c r="H203" i="1" s="1"/>
  <c r="L203" i="1" s="1"/>
  <c r="G171" i="1"/>
  <c r="H171" i="1" s="1"/>
  <c r="L171" i="1" s="1"/>
  <c r="G139" i="1"/>
  <c r="H139" i="1" s="1"/>
  <c r="G107" i="1"/>
  <c r="H107" i="1" s="1"/>
  <c r="G75" i="1"/>
  <c r="H75" i="1" s="1"/>
  <c r="G43" i="1"/>
  <c r="H43" i="1" s="1"/>
  <c r="G11" i="1"/>
  <c r="H11" i="1" s="1"/>
  <c r="G367" i="1"/>
  <c r="H367" i="1" s="1"/>
  <c r="L367" i="1" s="1"/>
  <c r="G327" i="1"/>
  <c r="H327" i="1" s="1"/>
  <c r="L327" i="1" s="1"/>
  <c r="G311" i="1"/>
  <c r="H311" i="1" s="1"/>
  <c r="L311" i="1" s="1"/>
  <c r="G271" i="1"/>
  <c r="H271" i="1" s="1"/>
  <c r="L271" i="1" s="1"/>
  <c r="G255" i="1"/>
  <c r="H255" i="1" s="1"/>
  <c r="L255" i="1" s="1"/>
  <c r="G215" i="1"/>
  <c r="H215" i="1" s="1"/>
  <c r="L215" i="1" s="1"/>
  <c r="G167" i="1"/>
  <c r="H167" i="1" s="1"/>
  <c r="L167" i="1" s="1"/>
  <c r="G111" i="1"/>
  <c r="H111" i="1" s="1"/>
  <c r="G63" i="1"/>
  <c r="H63" i="1" s="1"/>
  <c r="G31" i="1"/>
  <c r="H31" i="1" s="1"/>
  <c r="G283" i="1"/>
  <c r="H283" i="1" s="1"/>
  <c r="L283" i="1" s="1"/>
  <c r="G27" i="1"/>
  <c r="H27" i="1" s="1"/>
  <c r="G342" i="1"/>
  <c r="H342" i="1" s="1"/>
  <c r="L342" i="1" s="1"/>
  <c r="G318" i="1"/>
  <c r="H318" i="1" s="1"/>
  <c r="L318" i="1" s="1"/>
  <c r="G254" i="1"/>
  <c r="H254" i="1" s="1"/>
  <c r="L254" i="1" s="1"/>
  <c r="G222" i="1"/>
  <c r="H222" i="1" s="1"/>
  <c r="L222" i="1" s="1"/>
  <c r="G341" i="1"/>
  <c r="H341" i="1" s="1"/>
  <c r="L341" i="1" s="1"/>
  <c r="G325" i="1"/>
  <c r="H325" i="1" s="1"/>
  <c r="L325" i="1" s="1"/>
  <c r="G293" i="1"/>
  <c r="H293" i="1" s="1"/>
  <c r="L293" i="1" s="1"/>
  <c r="G261" i="1"/>
  <c r="H261" i="1" s="1"/>
  <c r="L261" i="1" s="1"/>
  <c r="G229" i="1"/>
  <c r="H229" i="1" s="1"/>
  <c r="L229" i="1" s="1"/>
  <c r="G213" i="1"/>
  <c r="H213" i="1" s="1"/>
  <c r="L213" i="1" s="1"/>
  <c r="G364" i="1"/>
  <c r="H364" i="1" s="1"/>
  <c r="L364" i="1" s="1"/>
  <c r="G324" i="1"/>
  <c r="H324" i="1" s="1"/>
  <c r="L324" i="1" s="1"/>
  <c r="G300" i="1"/>
  <c r="H300" i="1" s="1"/>
  <c r="L300" i="1" s="1"/>
  <c r="G284" i="1"/>
  <c r="H284" i="1" s="1"/>
  <c r="L284" i="1" s="1"/>
  <c r="G276" i="1"/>
  <c r="H276" i="1" s="1"/>
  <c r="L276" i="1" s="1"/>
  <c r="G252" i="1"/>
  <c r="H252" i="1" s="1"/>
  <c r="L252" i="1" s="1"/>
  <c r="G212" i="1"/>
  <c r="H212" i="1" s="1"/>
  <c r="L212" i="1" s="1"/>
  <c r="G188" i="1"/>
  <c r="H188" i="1" s="1"/>
  <c r="L188" i="1" s="1"/>
  <c r="G156" i="1"/>
  <c r="H156" i="1" s="1"/>
  <c r="G132" i="1"/>
  <c r="H132" i="1" s="1"/>
  <c r="G116" i="1"/>
  <c r="H116" i="1" s="1"/>
  <c r="G84" i="1"/>
  <c r="H84" i="1" s="1"/>
  <c r="G362" i="1"/>
  <c r="H362" i="1" s="1"/>
  <c r="L362" i="1" s="1"/>
  <c r="G330" i="1"/>
  <c r="H330" i="1" s="1"/>
  <c r="L330" i="1" s="1"/>
  <c r="G298" i="1"/>
  <c r="H298" i="1" s="1"/>
  <c r="L298" i="1" s="1"/>
  <c r="G266" i="1"/>
  <c r="H266" i="1" s="1"/>
  <c r="L266" i="1" s="1"/>
  <c r="G234" i="1"/>
  <c r="H234" i="1" s="1"/>
  <c r="L234" i="1" s="1"/>
  <c r="G202" i="1"/>
  <c r="H202" i="1" s="1"/>
  <c r="L202" i="1" s="1"/>
  <c r="G170" i="1"/>
  <c r="H170" i="1" s="1"/>
  <c r="L170" i="1" s="1"/>
  <c r="G138" i="1"/>
  <c r="H138" i="1" s="1"/>
  <c r="G106" i="1"/>
  <c r="H106" i="1" s="1"/>
  <c r="G74" i="1"/>
  <c r="H74" i="1" s="1"/>
  <c r="G42" i="1"/>
  <c r="H42" i="1" s="1"/>
  <c r="G10" i="1"/>
  <c r="H10" i="1" s="1"/>
  <c r="G343" i="1"/>
  <c r="H343" i="1" s="1"/>
  <c r="L343" i="1" s="1"/>
  <c r="G295" i="1"/>
  <c r="H295" i="1" s="1"/>
  <c r="L295" i="1" s="1"/>
  <c r="G263" i="1"/>
  <c r="H263" i="1" s="1"/>
  <c r="L263" i="1" s="1"/>
  <c r="G223" i="1"/>
  <c r="H223" i="1" s="1"/>
  <c r="L223" i="1" s="1"/>
  <c r="G175" i="1"/>
  <c r="H175" i="1" s="1"/>
  <c r="L175" i="1" s="1"/>
  <c r="G143" i="1"/>
  <c r="H143" i="1" s="1"/>
  <c r="G103" i="1"/>
  <c r="H103" i="1" s="1"/>
  <c r="G55" i="1"/>
  <c r="H55" i="1" s="1"/>
  <c r="G315" i="1"/>
  <c r="H315" i="1" s="1"/>
  <c r="L315" i="1" s="1"/>
  <c r="G91" i="1"/>
  <c r="H91" i="1" s="1"/>
  <c r="G369" i="1"/>
  <c r="H369" i="1" s="1"/>
  <c r="L369" i="1" s="1"/>
  <c r="G361" i="1"/>
  <c r="H361" i="1" s="1"/>
  <c r="L361" i="1" s="1"/>
  <c r="G353" i="1"/>
  <c r="H353" i="1" s="1"/>
  <c r="L353" i="1" s="1"/>
  <c r="G345" i="1"/>
  <c r="H345" i="1" s="1"/>
  <c r="L345" i="1" s="1"/>
  <c r="G337" i="1"/>
  <c r="H337" i="1" s="1"/>
  <c r="L337" i="1" s="1"/>
  <c r="G329" i="1"/>
  <c r="H329" i="1" s="1"/>
  <c r="L329" i="1" s="1"/>
  <c r="G321" i="1"/>
  <c r="H321" i="1" s="1"/>
  <c r="L321" i="1" s="1"/>
  <c r="G313" i="1"/>
  <c r="H313" i="1" s="1"/>
  <c r="L313" i="1" s="1"/>
  <c r="G305" i="1"/>
  <c r="H305" i="1" s="1"/>
  <c r="L305" i="1" s="1"/>
  <c r="G297" i="1"/>
  <c r="H297" i="1" s="1"/>
  <c r="L297" i="1" s="1"/>
  <c r="G289" i="1"/>
  <c r="H289" i="1" s="1"/>
  <c r="L289" i="1" s="1"/>
  <c r="G281" i="1"/>
  <c r="H281" i="1" s="1"/>
  <c r="L281" i="1" s="1"/>
  <c r="G273" i="1"/>
  <c r="H273" i="1" s="1"/>
  <c r="L273" i="1" s="1"/>
  <c r="G265" i="1"/>
  <c r="H265" i="1" s="1"/>
  <c r="L265" i="1" s="1"/>
  <c r="G257" i="1"/>
  <c r="H257" i="1" s="1"/>
  <c r="L257" i="1" s="1"/>
  <c r="G249" i="1"/>
  <c r="H249" i="1" s="1"/>
  <c r="L249" i="1" s="1"/>
  <c r="G241" i="1"/>
  <c r="H241" i="1" s="1"/>
  <c r="L241" i="1" s="1"/>
  <c r="G233" i="1"/>
  <c r="H233" i="1" s="1"/>
  <c r="L233" i="1" s="1"/>
  <c r="G225" i="1"/>
  <c r="H225" i="1" s="1"/>
  <c r="L225" i="1" s="1"/>
  <c r="G217" i="1"/>
  <c r="H217" i="1" s="1"/>
  <c r="L217" i="1" s="1"/>
  <c r="G209" i="1"/>
  <c r="H209" i="1" s="1"/>
  <c r="L209" i="1" s="1"/>
  <c r="G201" i="1"/>
  <c r="H201" i="1" s="1"/>
  <c r="L201" i="1" s="1"/>
  <c r="G193" i="1"/>
  <c r="H193" i="1" s="1"/>
  <c r="L193" i="1" s="1"/>
  <c r="G185" i="1"/>
  <c r="H185" i="1" s="1"/>
  <c r="L185" i="1" s="1"/>
  <c r="G177" i="1"/>
  <c r="H177" i="1" s="1"/>
  <c r="L177" i="1" s="1"/>
  <c r="G169" i="1"/>
  <c r="H169" i="1" s="1"/>
  <c r="L169" i="1" s="1"/>
  <c r="G161" i="1"/>
  <c r="H161" i="1" s="1"/>
  <c r="L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355" i="1"/>
  <c r="H355" i="1" s="1"/>
  <c r="L355" i="1" s="1"/>
  <c r="G323" i="1"/>
  <c r="H323" i="1" s="1"/>
  <c r="L323" i="1" s="1"/>
  <c r="G291" i="1"/>
  <c r="H291" i="1" s="1"/>
  <c r="L291" i="1" s="1"/>
  <c r="G259" i="1"/>
  <c r="H259" i="1" s="1"/>
  <c r="L259" i="1" s="1"/>
  <c r="G227" i="1"/>
  <c r="H227" i="1" s="1"/>
  <c r="L227" i="1" s="1"/>
  <c r="G195" i="1"/>
  <c r="H195" i="1" s="1"/>
  <c r="L195" i="1" s="1"/>
  <c r="G163" i="1"/>
  <c r="H163" i="1" s="1"/>
  <c r="L163" i="1" s="1"/>
  <c r="G131" i="1"/>
  <c r="H131" i="1" s="1"/>
  <c r="G99" i="1"/>
  <c r="H99" i="1" s="1"/>
  <c r="G67" i="1"/>
  <c r="H67" i="1" s="1"/>
  <c r="G35" i="1"/>
  <c r="H35" i="1" s="1"/>
  <c r="G351" i="1"/>
  <c r="H351" i="1" s="1"/>
  <c r="L351" i="1" s="1"/>
  <c r="G287" i="1"/>
  <c r="H287" i="1" s="1"/>
  <c r="L287" i="1" s="1"/>
  <c r="G239" i="1"/>
  <c r="H239" i="1" s="1"/>
  <c r="L239" i="1" s="1"/>
  <c r="G183" i="1"/>
  <c r="H183" i="1" s="1"/>
  <c r="L183" i="1" s="1"/>
  <c r="G127" i="1"/>
  <c r="H127" i="1" s="1"/>
  <c r="G87" i="1"/>
  <c r="H87" i="1" s="1"/>
  <c r="G23" i="1"/>
  <c r="H23" i="1" s="1"/>
  <c r="G155" i="1"/>
  <c r="H155" i="1" s="1"/>
  <c r="G368" i="1"/>
  <c r="H368" i="1" s="1"/>
  <c r="L368" i="1" s="1"/>
  <c r="G360" i="1"/>
  <c r="H360" i="1" s="1"/>
  <c r="L360" i="1" s="1"/>
  <c r="G352" i="1"/>
  <c r="H352" i="1" s="1"/>
  <c r="L352" i="1" s="1"/>
  <c r="G336" i="1"/>
  <c r="H336" i="1" s="1"/>
  <c r="L336" i="1" s="1"/>
  <c r="G328" i="1"/>
  <c r="H328" i="1" s="1"/>
  <c r="L328" i="1" s="1"/>
  <c r="G320" i="1"/>
  <c r="H320" i="1" s="1"/>
  <c r="L320" i="1" s="1"/>
  <c r="G312" i="1"/>
  <c r="H312" i="1" s="1"/>
  <c r="L312" i="1" s="1"/>
  <c r="G304" i="1"/>
  <c r="H304" i="1" s="1"/>
  <c r="L304" i="1" s="1"/>
  <c r="G296" i="1"/>
  <c r="H296" i="1" s="1"/>
  <c r="L296" i="1" s="1"/>
  <c r="G288" i="1"/>
  <c r="H288" i="1" s="1"/>
  <c r="L288" i="1" s="1"/>
  <c r="G280" i="1"/>
  <c r="H280" i="1" s="1"/>
  <c r="L280" i="1" s="1"/>
  <c r="G272" i="1"/>
  <c r="H272" i="1" s="1"/>
  <c r="L272" i="1" s="1"/>
  <c r="G264" i="1"/>
  <c r="H264" i="1" s="1"/>
  <c r="L264" i="1" s="1"/>
  <c r="G256" i="1"/>
  <c r="H256" i="1" s="1"/>
  <c r="L256" i="1" s="1"/>
  <c r="G248" i="1"/>
  <c r="H248" i="1" s="1"/>
  <c r="L248" i="1" s="1"/>
  <c r="G240" i="1"/>
  <c r="H240" i="1" s="1"/>
  <c r="L240" i="1" s="1"/>
  <c r="G232" i="1"/>
  <c r="H232" i="1" s="1"/>
  <c r="L232" i="1" s="1"/>
  <c r="G224" i="1"/>
  <c r="H224" i="1" s="1"/>
  <c r="L224" i="1" s="1"/>
  <c r="G216" i="1"/>
  <c r="H216" i="1" s="1"/>
  <c r="L216" i="1" s="1"/>
  <c r="G208" i="1"/>
  <c r="H208" i="1" s="1"/>
  <c r="L208" i="1" s="1"/>
  <c r="G200" i="1"/>
  <c r="H200" i="1" s="1"/>
  <c r="L200" i="1" s="1"/>
  <c r="G192" i="1"/>
  <c r="G184" i="1"/>
  <c r="H184" i="1" s="1"/>
  <c r="L184" i="1" s="1"/>
  <c r="G176" i="1"/>
  <c r="H176" i="1" s="1"/>
  <c r="L176" i="1" s="1"/>
  <c r="G168" i="1"/>
  <c r="H168" i="1" s="1"/>
  <c r="L168" i="1" s="1"/>
  <c r="G160" i="1"/>
  <c r="H160" i="1" s="1"/>
  <c r="L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G64" i="1"/>
  <c r="H64" i="1" s="1"/>
  <c r="G56" i="1"/>
  <c r="H56" i="1" s="1"/>
  <c r="G48" i="1"/>
  <c r="H48" i="1" s="1"/>
  <c r="G40" i="1"/>
  <c r="G32" i="1"/>
  <c r="H32" i="1" s="1"/>
  <c r="G24" i="1"/>
  <c r="H24" i="1" s="1"/>
  <c r="G16" i="1"/>
  <c r="H16" i="1" s="1"/>
  <c r="G354" i="1"/>
  <c r="G322" i="1"/>
  <c r="H322" i="1" s="1"/>
  <c r="L322" i="1" s="1"/>
  <c r="G290" i="1"/>
  <c r="H290" i="1" s="1"/>
  <c r="L290" i="1" s="1"/>
  <c r="G258" i="1"/>
  <c r="H258" i="1" s="1"/>
  <c r="L258" i="1" s="1"/>
  <c r="G226" i="1"/>
  <c r="H226" i="1" s="1"/>
  <c r="L226" i="1" s="1"/>
  <c r="G194" i="1"/>
  <c r="H194" i="1" s="1"/>
  <c r="L194" i="1" s="1"/>
  <c r="G162" i="1"/>
  <c r="H162" i="1" s="1"/>
  <c r="L162" i="1" s="1"/>
  <c r="G130" i="1"/>
  <c r="H130" i="1" s="1"/>
  <c r="G98" i="1"/>
  <c r="G66" i="1"/>
  <c r="H66" i="1" s="1"/>
  <c r="G34" i="1"/>
  <c r="H34" i="1" s="1"/>
  <c r="J184" i="1"/>
  <c r="I181" i="1"/>
  <c r="I177" i="1"/>
  <c r="J173" i="1"/>
  <c r="J169" i="1"/>
  <c r="I166" i="1"/>
  <c r="I162" i="1"/>
  <c r="I158" i="1"/>
  <c r="I186" i="1"/>
  <c r="J159" i="1"/>
  <c r="J170" i="1"/>
  <c r="I185" i="1"/>
  <c r="J166" i="1"/>
  <c r="I184" i="1"/>
  <c r="J180" i="1"/>
  <c r="J176" i="1"/>
  <c r="I173" i="1"/>
  <c r="I169" i="1"/>
  <c r="J165" i="1"/>
  <c r="J161" i="1"/>
  <c r="I161" i="1"/>
  <c r="I171" i="1"/>
  <c r="J185" i="1"/>
  <c r="J181" i="1"/>
  <c r="J158" i="1"/>
  <c r="J187" i="1"/>
  <c r="J183" i="1"/>
  <c r="I180" i="1"/>
  <c r="I176" i="1"/>
  <c r="J172" i="1"/>
  <c r="J168" i="1"/>
  <c r="I165" i="1"/>
  <c r="I160" i="1"/>
  <c r="I167" i="1"/>
  <c r="I182" i="1"/>
  <c r="I163" i="1"/>
  <c r="I174" i="1"/>
  <c r="I187" i="1"/>
  <c r="I183" i="1"/>
  <c r="J179" i="1"/>
  <c r="J175" i="1"/>
  <c r="I172" i="1"/>
  <c r="I168" i="1"/>
  <c r="J164" i="1"/>
  <c r="J160" i="1"/>
  <c r="J178" i="1"/>
  <c r="J163" i="1"/>
  <c r="J174" i="1"/>
  <c r="J177" i="1"/>
  <c r="I170" i="1"/>
  <c r="J186" i="1"/>
  <c r="I179" i="1"/>
  <c r="I175" i="1"/>
  <c r="J171" i="1"/>
  <c r="J167" i="1"/>
  <c r="I164" i="1"/>
  <c r="J182" i="1"/>
  <c r="I178" i="1"/>
  <c r="I159" i="1"/>
  <c r="J162" i="1"/>
  <c r="J128" i="1"/>
  <c r="J132" i="1"/>
  <c r="J135" i="1"/>
  <c r="I139" i="1"/>
  <c r="J142" i="1"/>
  <c r="J145" i="1"/>
  <c r="J149" i="1"/>
  <c r="J152" i="1"/>
  <c r="I156" i="1"/>
  <c r="I129" i="1"/>
  <c r="J139" i="1"/>
  <c r="I146" i="1"/>
  <c r="I150" i="1"/>
  <c r="I153" i="1"/>
  <c r="J156" i="1"/>
  <c r="I157" i="1"/>
  <c r="J138" i="1"/>
  <c r="J129" i="1"/>
  <c r="I133" i="1"/>
  <c r="I136" i="1"/>
  <c r="I140" i="1"/>
  <c r="I143" i="1"/>
  <c r="J146" i="1"/>
  <c r="J150" i="1"/>
  <c r="J153" i="1"/>
  <c r="I132" i="1"/>
  <c r="I152" i="1"/>
  <c r="I130" i="1"/>
  <c r="J133" i="1"/>
  <c r="J136" i="1"/>
  <c r="J140" i="1"/>
  <c r="J143" i="1"/>
  <c r="I147" i="1"/>
  <c r="I154" i="1"/>
  <c r="I135" i="1"/>
  <c r="J130" i="1"/>
  <c r="I134" i="1"/>
  <c r="I137" i="1"/>
  <c r="J147" i="1"/>
  <c r="I151" i="1"/>
  <c r="J154" i="1"/>
  <c r="J157" i="1"/>
  <c r="I155" i="1"/>
  <c r="I145" i="1"/>
  <c r="I131" i="1"/>
  <c r="J134" i="1"/>
  <c r="J137" i="1"/>
  <c r="I141" i="1"/>
  <c r="I144" i="1"/>
  <c r="I148" i="1"/>
  <c r="J151" i="1"/>
  <c r="J127" i="1"/>
  <c r="I149" i="1"/>
  <c r="J131" i="1"/>
  <c r="I138" i="1"/>
  <c r="J141" i="1"/>
  <c r="J144" i="1"/>
  <c r="J148" i="1"/>
  <c r="J155" i="1"/>
  <c r="I127" i="1"/>
  <c r="I128" i="1"/>
  <c r="I142" i="1"/>
  <c r="I126" i="1"/>
  <c r="J122" i="1"/>
  <c r="J118" i="1"/>
  <c r="I111" i="1"/>
  <c r="I107" i="1"/>
  <c r="J103" i="1"/>
  <c r="J102" i="1"/>
  <c r="I115" i="1"/>
  <c r="J125" i="1"/>
  <c r="I122" i="1"/>
  <c r="I118" i="1"/>
  <c r="J114" i="1"/>
  <c r="J110" i="1"/>
  <c r="I103" i="1"/>
  <c r="J112" i="1"/>
  <c r="I125" i="1"/>
  <c r="J121" i="1"/>
  <c r="J117" i="1"/>
  <c r="I114" i="1"/>
  <c r="I110" i="1"/>
  <c r="J106" i="1"/>
  <c r="J108" i="1"/>
  <c r="I104" i="1"/>
  <c r="J124" i="1"/>
  <c r="I121" i="1"/>
  <c r="I117" i="1"/>
  <c r="J113" i="1"/>
  <c r="J109" i="1"/>
  <c r="I106" i="1"/>
  <c r="K106" i="1" s="1"/>
  <c r="I102" i="1"/>
  <c r="J111" i="1"/>
  <c r="I124" i="1"/>
  <c r="K124" i="1" s="1"/>
  <c r="J120" i="1"/>
  <c r="J116" i="1"/>
  <c r="I113" i="1"/>
  <c r="I109" i="1"/>
  <c r="J105" i="1"/>
  <c r="I119" i="1"/>
  <c r="J123" i="1"/>
  <c r="I120" i="1"/>
  <c r="I116" i="1"/>
  <c r="I105" i="1"/>
  <c r="I123" i="1"/>
  <c r="J119" i="1"/>
  <c r="J115" i="1"/>
  <c r="I112" i="1"/>
  <c r="I108" i="1"/>
  <c r="J104" i="1"/>
  <c r="J126" i="1"/>
  <c r="J107" i="1"/>
  <c r="J98" i="1"/>
  <c r="J99" i="1"/>
  <c r="J101" i="1"/>
  <c r="J100" i="1"/>
  <c r="I101" i="1"/>
  <c r="I98" i="1"/>
  <c r="I99" i="1"/>
  <c r="I100" i="1"/>
  <c r="J97" i="1"/>
  <c r="I97" i="1"/>
  <c r="J94" i="1"/>
  <c r="J95" i="1"/>
  <c r="J96" i="1"/>
  <c r="I94" i="1"/>
  <c r="I95" i="1"/>
  <c r="I96" i="1"/>
  <c r="I92" i="1"/>
  <c r="I93" i="1"/>
  <c r="J91" i="1"/>
  <c r="J92" i="1"/>
  <c r="J93" i="1"/>
  <c r="I91" i="1"/>
  <c r="J89" i="1"/>
  <c r="J90" i="1"/>
  <c r="I89" i="1"/>
  <c r="I90" i="1"/>
  <c r="I87" i="1"/>
  <c r="J87" i="1"/>
  <c r="I88" i="1"/>
  <c r="J88" i="1"/>
  <c r="I85" i="1"/>
  <c r="J85" i="1"/>
  <c r="I86" i="1"/>
  <c r="J86" i="1"/>
  <c r="J84" i="1"/>
  <c r="I84" i="1"/>
  <c r="I78" i="1"/>
  <c r="I79" i="1"/>
  <c r="I80" i="1"/>
  <c r="J81" i="1"/>
  <c r="J78" i="1"/>
  <c r="I81" i="1"/>
  <c r="J79" i="1"/>
  <c r="I83" i="1"/>
  <c r="J80" i="1"/>
  <c r="I82" i="1"/>
  <c r="J82" i="1"/>
  <c r="J83" i="1"/>
  <c r="I77" i="1"/>
  <c r="J76" i="1"/>
  <c r="J77" i="1"/>
  <c r="I76" i="1"/>
  <c r="I75" i="1"/>
  <c r="J75" i="1"/>
  <c r="J74" i="1"/>
  <c r="I74" i="1"/>
  <c r="I70" i="1"/>
  <c r="I71" i="1"/>
  <c r="I72" i="1"/>
  <c r="J69" i="1"/>
  <c r="I73" i="1"/>
  <c r="J70" i="1"/>
  <c r="J72" i="1"/>
  <c r="J71" i="1"/>
  <c r="J73" i="1"/>
  <c r="I69" i="1"/>
  <c r="I67" i="1"/>
  <c r="I68" i="1"/>
  <c r="J67" i="1"/>
  <c r="J68" i="1"/>
  <c r="J66" i="1"/>
  <c r="I66" i="1"/>
  <c r="J65" i="1"/>
  <c r="I65" i="1"/>
  <c r="I64" i="1"/>
  <c r="J64" i="1"/>
  <c r="I63" i="1"/>
  <c r="J62" i="1"/>
  <c r="J63" i="1"/>
  <c r="I62" i="1"/>
  <c r="I61" i="1"/>
  <c r="J59" i="1"/>
  <c r="J60" i="1"/>
  <c r="J61" i="1"/>
  <c r="I60" i="1"/>
  <c r="I59" i="1"/>
  <c r="I57" i="1"/>
  <c r="J57" i="1"/>
  <c r="J58" i="1"/>
  <c r="I58" i="1"/>
  <c r="J56" i="1"/>
  <c r="J55" i="1"/>
  <c r="I55" i="1"/>
  <c r="I56" i="1"/>
  <c r="I247" i="1"/>
  <c r="J247" i="1"/>
  <c r="I248" i="1"/>
  <c r="J248" i="1"/>
  <c r="I249" i="1"/>
  <c r="J249" i="1"/>
  <c r="I245" i="1"/>
  <c r="I246" i="1"/>
  <c r="J246" i="1"/>
  <c r="J245" i="1"/>
  <c r="J244" i="1"/>
  <c r="I244" i="1"/>
  <c r="I241" i="1"/>
  <c r="J241" i="1"/>
  <c r="I242" i="1"/>
  <c r="J242" i="1"/>
  <c r="I243" i="1"/>
  <c r="J243" i="1"/>
  <c r="I240" i="1"/>
  <c r="J240" i="1"/>
  <c r="J239" i="1"/>
  <c r="I238" i="1"/>
  <c r="J238" i="1"/>
  <c r="I239" i="1"/>
  <c r="I233" i="1"/>
  <c r="I237" i="1"/>
  <c r="J235" i="1"/>
  <c r="J233" i="1"/>
  <c r="J237" i="1"/>
  <c r="J236" i="1"/>
  <c r="I230" i="1"/>
  <c r="I234" i="1"/>
  <c r="J232" i="1"/>
  <c r="J230" i="1"/>
  <c r="J234" i="1"/>
  <c r="J231" i="1"/>
  <c r="I231" i="1"/>
  <c r="I235" i="1"/>
  <c r="I232" i="1"/>
  <c r="I236" i="1"/>
  <c r="J225" i="1"/>
  <c r="I226" i="1"/>
  <c r="J229" i="1"/>
  <c r="I229" i="1"/>
  <c r="J226" i="1"/>
  <c r="J228" i="1"/>
  <c r="J227" i="1"/>
  <c r="I227" i="1"/>
  <c r="I228" i="1"/>
  <c r="I225" i="1"/>
  <c r="J220" i="1"/>
  <c r="J224" i="1"/>
  <c r="I221" i="1"/>
  <c r="J219" i="1"/>
  <c r="J221" i="1"/>
  <c r="I219" i="1"/>
  <c r="I222" i="1"/>
  <c r="I223" i="1"/>
  <c r="J223" i="1"/>
  <c r="J222" i="1"/>
  <c r="I220" i="1"/>
  <c r="I224" i="1"/>
  <c r="J218" i="1"/>
  <c r="J216" i="1"/>
  <c r="I216" i="1"/>
  <c r="I217" i="1"/>
  <c r="I218" i="1"/>
  <c r="J217" i="1"/>
  <c r="J214" i="1"/>
  <c r="I215" i="1"/>
  <c r="J215" i="1"/>
  <c r="I213" i="1"/>
  <c r="I214" i="1"/>
  <c r="J213" i="1"/>
  <c r="I208" i="1"/>
  <c r="J208" i="1"/>
  <c r="J212" i="1"/>
  <c r="I209" i="1"/>
  <c r="J209" i="1"/>
  <c r="I210" i="1"/>
  <c r="J210" i="1"/>
  <c r="I211" i="1"/>
  <c r="I212" i="1"/>
  <c r="J211" i="1"/>
  <c r="J206" i="1"/>
  <c r="I207" i="1"/>
  <c r="J207" i="1"/>
  <c r="I206" i="1"/>
  <c r="I276" i="1"/>
  <c r="J276" i="1"/>
  <c r="I277" i="1"/>
  <c r="J277" i="1"/>
  <c r="I278" i="1"/>
  <c r="J278" i="1"/>
  <c r="I279" i="1"/>
  <c r="J279" i="1"/>
  <c r="I275" i="1"/>
  <c r="J275" i="1"/>
  <c r="J265" i="1"/>
  <c r="J269" i="1"/>
  <c r="J273" i="1"/>
  <c r="I274" i="1"/>
  <c r="I262" i="1"/>
  <c r="I266" i="1"/>
  <c r="I270" i="1"/>
  <c r="J262" i="1"/>
  <c r="J266" i="1"/>
  <c r="J270" i="1"/>
  <c r="J274" i="1"/>
  <c r="I263" i="1"/>
  <c r="I267" i="1"/>
  <c r="I271" i="1"/>
  <c r="I273" i="1"/>
  <c r="J263" i="1"/>
  <c r="J267" i="1"/>
  <c r="J271" i="1"/>
  <c r="I269" i="1"/>
  <c r="I264" i="1"/>
  <c r="I268" i="1"/>
  <c r="I272" i="1"/>
  <c r="J264" i="1"/>
  <c r="J268" i="1"/>
  <c r="J272" i="1"/>
  <c r="I265" i="1"/>
  <c r="J260" i="1"/>
  <c r="I261" i="1"/>
  <c r="J261" i="1"/>
  <c r="I260" i="1"/>
  <c r="I259" i="1"/>
  <c r="J259" i="1"/>
  <c r="I256" i="1"/>
  <c r="J258" i="1"/>
  <c r="J256" i="1"/>
  <c r="I253" i="1"/>
  <c r="I257" i="1"/>
  <c r="J253" i="1"/>
  <c r="J257" i="1"/>
  <c r="I254" i="1"/>
  <c r="I258" i="1"/>
  <c r="J254" i="1"/>
  <c r="I255" i="1"/>
  <c r="J255" i="1"/>
  <c r="I252" i="1"/>
  <c r="J252" i="1"/>
  <c r="I251" i="1"/>
  <c r="J251" i="1"/>
  <c r="I250" i="1"/>
  <c r="J250" i="1"/>
  <c r="J310" i="1"/>
  <c r="I310" i="1"/>
  <c r="J309" i="1"/>
  <c r="I307" i="1"/>
  <c r="J307" i="1"/>
  <c r="I308" i="1"/>
  <c r="I309" i="1"/>
  <c r="J308" i="1"/>
  <c r="I339" i="1"/>
  <c r="J339" i="1"/>
  <c r="J338" i="1"/>
  <c r="I340" i="1"/>
  <c r="J340" i="1"/>
  <c r="I338" i="1"/>
  <c r="I335" i="1"/>
  <c r="I336" i="1"/>
  <c r="J333" i="1"/>
  <c r="J335" i="1"/>
  <c r="J336" i="1"/>
  <c r="J337" i="1"/>
  <c r="I332" i="1"/>
  <c r="I333" i="1"/>
  <c r="I334" i="1"/>
  <c r="J332" i="1"/>
  <c r="I337" i="1"/>
  <c r="J334" i="1"/>
  <c r="I331" i="1"/>
  <c r="J331" i="1"/>
  <c r="I330" i="1"/>
  <c r="J330" i="1"/>
  <c r="I329" i="1"/>
  <c r="J327" i="1"/>
  <c r="J329" i="1"/>
  <c r="I327" i="1"/>
  <c r="I326" i="1"/>
  <c r="J326" i="1"/>
  <c r="J328" i="1"/>
  <c r="I328" i="1"/>
  <c r="I324" i="1"/>
  <c r="J324" i="1"/>
  <c r="I325" i="1"/>
  <c r="J325" i="1"/>
  <c r="I323" i="1"/>
  <c r="J323" i="1"/>
  <c r="I322" i="1"/>
  <c r="J322" i="1"/>
  <c r="I312" i="1"/>
  <c r="I316" i="1"/>
  <c r="I320" i="1"/>
  <c r="J314" i="1"/>
  <c r="J315" i="1"/>
  <c r="J312" i="1"/>
  <c r="J316" i="1"/>
  <c r="J320" i="1"/>
  <c r="I315" i="1"/>
  <c r="I313" i="1"/>
  <c r="I317" i="1"/>
  <c r="I321" i="1"/>
  <c r="J318" i="1"/>
  <c r="J319" i="1"/>
  <c r="J313" i="1"/>
  <c r="J317" i="1"/>
  <c r="J321" i="1"/>
  <c r="I319" i="1"/>
  <c r="I314" i="1"/>
  <c r="I318" i="1"/>
  <c r="J311" i="1"/>
  <c r="I311" i="1"/>
  <c r="I366" i="1"/>
  <c r="I370" i="1"/>
  <c r="I371" i="1"/>
  <c r="J367" i="1"/>
  <c r="I365" i="1"/>
  <c r="J366" i="1"/>
  <c r="J370" i="1"/>
  <c r="I367" i="1"/>
  <c r="J371" i="1"/>
  <c r="I363" i="1"/>
  <c r="J363" i="1"/>
  <c r="J365" i="1"/>
  <c r="I364" i="1"/>
  <c r="I368" i="1"/>
  <c r="J364" i="1"/>
  <c r="J368" i="1"/>
  <c r="I369" i="1"/>
  <c r="J369" i="1"/>
  <c r="J359" i="1"/>
  <c r="J360" i="1"/>
  <c r="I360" i="1"/>
  <c r="J362" i="1"/>
  <c r="I361" i="1"/>
  <c r="J361" i="1"/>
  <c r="I362" i="1"/>
  <c r="I359" i="1"/>
  <c r="I358" i="1"/>
  <c r="I357" i="1"/>
  <c r="J358" i="1"/>
  <c r="I356" i="1"/>
  <c r="J356" i="1"/>
  <c r="J357" i="1"/>
  <c r="I355" i="1"/>
  <c r="J355" i="1"/>
  <c r="I353" i="1"/>
  <c r="J352" i="1"/>
  <c r="J353" i="1"/>
  <c r="I354" i="1"/>
  <c r="J354" i="1"/>
  <c r="I352" i="1"/>
  <c r="J351" i="1"/>
  <c r="I351" i="1"/>
  <c r="I350" i="1"/>
  <c r="J350" i="1"/>
  <c r="I349" i="1"/>
  <c r="J349" i="1"/>
  <c r="J347" i="1"/>
  <c r="I346" i="1"/>
  <c r="J348" i="1"/>
  <c r="J346" i="1"/>
  <c r="I348" i="1"/>
  <c r="I347" i="1"/>
  <c r="I344" i="1"/>
  <c r="J342" i="1"/>
  <c r="J344" i="1"/>
  <c r="J343" i="1"/>
  <c r="I345" i="1"/>
  <c r="I343" i="1"/>
  <c r="J345" i="1"/>
  <c r="I342" i="1"/>
  <c r="J341" i="1"/>
  <c r="I341" i="1"/>
  <c r="J297" i="1"/>
  <c r="J301" i="1"/>
  <c r="J305" i="1"/>
  <c r="I298" i="1"/>
  <c r="I302" i="1"/>
  <c r="I306" i="1"/>
  <c r="J298" i="1"/>
  <c r="J302" i="1"/>
  <c r="J306" i="1"/>
  <c r="I301" i="1"/>
  <c r="K301" i="1" s="1"/>
  <c r="I299" i="1"/>
  <c r="I303" i="1"/>
  <c r="I297" i="1"/>
  <c r="J299" i="1"/>
  <c r="J303" i="1"/>
  <c r="J300" i="1"/>
  <c r="I305" i="1"/>
  <c r="I300" i="1"/>
  <c r="I304" i="1"/>
  <c r="J304" i="1"/>
  <c r="I295" i="1"/>
  <c r="J295" i="1"/>
  <c r="I296" i="1"/>
  <c r="J296" i="1"/>
  <c r="J293" i="1"/>
  <c r="J290" i="1"/>
  <c r="J294" i="1"/>
  <c r="J288" i="1"/>
  <c r="I289" i="1"/>
  <c r="I290" i="1"/>
  <c r="I287" i="1"/>
  <c r="I291" i="1"/>
  <c r="J287" i="1"/>
  <c r="J291" i="1"/>
  <c r="J289" i="1"/>
  <c r="I288" i="1"/>
  <c r="K288" i="1" s="1"/>
  <c r="I292" i="1"/>
  <c r="J292" i="1"/>
  <c r="I293" i="1"/>
  <c r="I294" i="1"/>
  <c r="J286" i="1"/>
  <c r="I286" i="1"/>
  <c r="I283" i="1"/>
  <c r="J283" i="1"/>
  <c r="I284" i="1"/>
  <c r="J284" i="1"/>
  <c r="I285" i="1"/>
  <c r="J285" i="1"/>
  <c r="J280" i="1"/>
  <c r="I281" i="1"/>
  <c r="J281" i="1"/>
  <c r="I282" i="1"/>
  <c r="J282" i="1"/>
  <c r="I280" i="1"/>
  <c r="I205" i="1"/>
  <c r="J205" i="1"/>
  <c r="I204" i="1"/>
  <c r="J204" i="1"/>
  <c r="I197" i="1"/>
  <c r="I201" i="1"/>
  <c r="J202" i="1"/>
  <c r="J199" i="1"/>
  <c r="J197" i="1"/>
  <c r="J201" i="1"/>
  <c r="I202" i="1"/>
  <c r="J203" i="1"/>
  <c r="I194" i="1"/>
  <c r="I198" i="1"/>
  <c r="I203" i="1"/>
  <c r="J196" i="1"/>
  <c r="J194" i="1"/>
  <c r="J198" i="1"/>
  <c r="J195" i="1"/>
  <c r="J200" i="1"/>
  <c r="I195" i="1"/>
  <c r="I199" i="1"/>
  <c r="I196" i="1"/>
  <c r="I200" i="1"/>
  <c r="I192" i="1"/>
  <c r="I188" i="1"/>
  <c r="J191" i="1"/>
  <c r="I189" i="1"/>
  <c r="I191" i="1"/>
  <c r="J192" i="1"/>
  <c r="J190" i="1"/>
  <c r="J188" i="1"/>
  <c r="I190" i="1"/>
  <c r="I193" i="1"/>
  <c r="J193" i="1"/>
  <c r="J189" i="1"/>
  <c r="J37" i="1"/>
  <c r="I37" i="1"/>
  <c r="I35" i="1"/>
  <c r="J35" i="1"/>
  <c r="I36" i="1"/>
  <c r="J36" i="1"/>
  <c r="J34" i="1"/>
  <c r="I34" i="1"/>
  <c r="J32" i="1"/>
  <c r="J33" i="1"/>
  <c r="I32" i="1"/>
  <c r="I33" i="1"/>
  <c r="I31" i="1"/>
  <c r="J31" i="1"/>
  <c r="J30" i="1"/>
  <c r="I30" i="1"/>
  <c r="I29" i="1"/>
  <c r="J29" i="1"/>
  <c r="J28" i="1"/>
  <c r="I28" i="1"/>
  <c r="J27" i="1"/>
  <c r="I27" i="1"/>
  <c r="I26" i="1"/>
  <c r="J26" i="1"/>
  <c r="J23" i="1"/>
  <c r="J24" i="1"/>
  <c r="J25" i="1"/>
  <c r="I23" i="1"/>
  <c r="I24" i="1"/>
  <c r="I25" i="1"/>
  <c r="J22" i="1"/>
  <c r="I22" i="1"/>
  <c r="J12" i="1"/>
  <c r="J20" i="1"/>
  <c r="I12" i="1"/>
  <c r="I20" i="1"/>
  <c r="I11" i="1"/>
  <c r="J13" i="1"/>
  <c r="J21" i="1"/>
  <c r="I13" i="1"/>
  <c r="I21" i="1"/>
  <c r="J14" i="1"/>
  <c r="J7" i="1"/>
  <c r="I14" i="1"/>
  <c r="J11" i="1"/>
  <c r="J15" i="1"/>
  <c r="I7" i="1"/>
  <c r="I15" i="1"/>
  <c r="I19" i="1"/>
  <c r="J8" i="1"/>
  <c r="J16" i="1"/>
  <c r="I8" i="1"/>
  <c r="I16" i="1"/>
  <c r="J19" i="1"/>
  <c r="J9" i="1"/>
  <c r="J17" i="1"/>
  <c r="I9" i="1"/>
  <c r="I17" i="1"/>
  <c r="J10" i="1"/>
  <c r="J18" i="1"/>
  <c r="I10" i="1"/>
  <c r="I18" i="1"/>
  <c r="I54" i="1"/>
  <c r="J54" i="1"/>
  <c r="I51" i="1"/>
  <c r="J51" i="1"/>
  <c r="J52" i="1"/>
  <c r="I52" i="1"/>
  <c r="J53" i="1"/>
  <c r="I53" i="1"/>
  <c r="J50" i="1"/>
  <c r="I50" i="1"/>
  <c r="J49" i="1"/>
  <c r="I49" i="1"/>
  <c r="J48" i="1"/>
  <c r="I48" i="1"/>
  <c r="J47" i="1"/>
  <c r="I47" i="1"/>
  <c r="I44" i="1"/>
  <c r="J46" i="1"/>
  <c r="I46" i="1"/>
  <c r="I45" i="1"/>
  <c r="J45" i="1"/>
  <c r="J44" i="1"/>
  <c r="J43" i="1"/>
  <c r="I43" i="1"/>
  <c r="J42" i="1"/>
  <c r="I42" i="1"/>
  <c r="J40" i="1"/>
  <c r="J41" i="1"/>
  <c r="I40" i="1"/>
  <c r="I41" i="1"/>
  <c r="J39" i="1"/>
  <c r="I39" i="1"/>
  <c r="J38" i="1"/>
  <c r="I38" i="1"/>
  <c r="H344" i="1"/>
  <c r="L344" i="1" s="1"/>
  <c r="H159" i="1"/>
  <c r="L159" i="1" s="1"/>
  <c r="H8" i="1"/>
  <c r="AA3" i="1" l="1"/>
  <c r="K273" i="1"/>
  <c r="K258" i="1"/>
  <c r="K169" i="1"/>
  <c r="M169" i="1" s="1"/>
  <c r="K269" i="1"/>
  <c r="K102" i="1"/>
  <c r="M102" i="1" s="1"/>
  <c r="K135" i="1"/>
  <c r="L135" i="1" s="1"/>
  <c r="K132" i="1"/>
  <c r="K127" i="1"/>
  <c r="L127" i="1" s="1"/>
  <c r="K148" i="1"/>
  <c r="K152" i="1"/>
  <c r="K128" i="1"/>
  <c r="L128" i="1" s="1"/>
  <c r="M124" i="1"/>
  <c r="L124" i="1"/>
  <c r="K103" i="1"/>
  <c r="L103" i="1" s="1"/>
  <c r="K112" i="1"/>
  <c r="L112" i="1" s="1"/>
  <c r="K122" i="1"/>
  <c r="M106" i="1"/>
  <c r="L106" i="1"/>
  <c r="K113" i="1"/>
  <c r="K109" i="1"/>
  <c r="K117" i="1"/>
  <c r="K118" i="1"/>
  <c r="K121" i="1"/>
  <c r="K59" i="1"/>
  <c r="L59" i="1" s="1"/>
  <c r="K114" i="1"/>
  <c r="K138" i="1"/>
  <c r="K355" i="1"/>
  <c r="K362" i="1"/>
  <c r="M362" i="1" s="1"/>
  <c r="K56" i="1"/>
  <c r="L56" i="1" s="1"/>
  <c r="K255" i="1"/>
  <c r="K278" i="1"/>
  <c r="K256" i="1"/>
  <c r="K218" i="1"/>
  <c r="K369" i="1"/>
  <c r="K366" i="1"/>
  <c r="K123" i="1"/>
  <c r="K323" i="1"/>
  <c r="K326" i="1"/>
  <c r="M326" i="1" s="1"/>
  <c r="K331" i="1"/>
  <c r="W2" i="1"/>
  <c r="U3" i="1"/>
  <c r="K337" i="1"/>
  <c r="K84" i="1"/>
  <c r="L84" i="1" s="1"/>
  <c r="Z2" i="1"/>
  <c r="K319" i="1"/>
  <c r="M273" i="1"/>
  <c r="K175" i="1"/>
  <c r="K160" i="1"/>
  <c r="V2" i="1"/>
  <c r="P2" i="1"/>
  <c r="K70" i="1"/>
  <c r="L70" i="1" s="1"/>
  <c r="K77" i="1"/>
  <c r="L77" i="1" s="1"/>
  <c r="K66" i="1"/>
  <c r="L66" i="1" s="1"/>
  <c r="K74" i="1"/>
  <c r="L74" i="1" s="1"/>
  <c r="K340" i="1"/>
  <c r="K307" i="1"/>
  <c r="K216" i="1"/>
  <c r="K178" i="1"/>
  <c r="M178" i="1" s="1"/>
  <c r="K172" i="1"/>
  <c r="M172" i="1" s="1"/>
  <c r="Q2" i="1"/>
  <c r="K321" i="1"/>
  <c r="K342" i="1"/>
  <c r="K314" i="1"/>
  <c r="K317" i="1"/>
  <c r="K320" i="1"/>
  <c r="M320" i="1" s="1"/>
  <c r="K325" i="1"/>
  <c r="K339" i="1"/>
  <c r="K224" i="1"/>
  <c r="K235" i="1"/>
  <c r="K100" i="1"/>
  <c r="L100" i="1" s="1"/>
  <c r="K313" i="1"/>
  <c r="M313" i="1" s="1"/>
  <c r="K316" i="1"/>
  <c r="K220" i="1"/>
  <c r="M220" i="1" s="1"/>
  <c r="K343" i="1"/>
  <c r="S3" i="1"/>
  <c r="AA2" i="1"/>
  <c r="R2" i="1"/>
  <c r="K89" i="1"/>
  <c r="L89" i="1" s="1"/>
  <c r="K108" i="1"/>
  <c r="K142" i="1"/>
  <c r="K143" i="1"/>
  <c r="M143" i="1" s="1"/>
  <c r="X2" i="1"/>
  <c r="S2" i="1"/>
  <c r="K359" i="1"/>
  <c r="K208" i="1"/>
  <c r="K97" i="1"/>
  <c r="L97" i="1" s="1"/>
  <c r="K110" i="1"/>
  <c r="H98" i="1"/>
  <c r="H354" i="1"/>
  <c r="L354" i="1" s="1"/>
  <c r="H40" i="1"/>
  <c r="H72" i="1"/>
  <c r="H192" i="1"/>
  <c r="L192" i="1" s="1"/>
  <c r="Q3" i="1"/>
  <c r="Y3" i="1"/>
  <c r="T3" i="1"/>
  <c r="W3" i="1"/>
  <c r="K345" i="1"/>
  <c r="K229" i="1"/>
  <c r="M229" i="1" s="1"/>
  <c r="K69" i="1"/>
  <c r="L69" i="1" s="1"/>
  <c r="K92" i="1"/>
  <c r="L92" i="1" s="1"/>
  <c r="K107" i="1"/>
  <c r="K105" i="1"/>
  <c r="K173" i="1"/>
  <c r="M173" i="1" s="1"/>
  <c r="T2" i="1"/>
  <c r="R3" i="1"/>
  <c r="Y2" i="1"/>
  <c r="P3" i="1"/>
  <c r="K305" i="1"/>
  <c r="M305" i="1" s="1"/>
  <c r="K361" i="1"/>
  <c r="K213" i="1"/>
  <c r="K96" i="1"/>
  <c r="L96" i="1" s="1"/>
  <c r="K99" i="1"/>
  <c r="L99" i="1" s="1"/>
  <c r="K164" i="1"/>
  <c r="M164" i="1" s="1"/>
  <c r="Z3" i="1"/>
  <c r="V3" i="1"/>
  <c r="X3" i="1"/>
  <c r="M337" i="1"/>
  <c r="K328" i="1"/>
  <c r="K309" i="1"/>
  <c r="K253" i="1"/>
  <c r="K261" i="1"/>
  <c r="K222" i="1"/>
  <c r="M222" i="1" s="1"/>
  <c r="K233" i="1"/>
  <c r="K243" i="1"/>
  <c r="M243" i="1" s="1"/>
  <c r="K247" i="1"/>
  <c r="K95" i="1"/>
  <c r="L95" i="1" s="1"/>
  <c r="K98" i="1"/>
  <c r="L98" i="1" s="1"/>
  <c r="K120" i="1"/>
  <c r="K125" i="1"/>
  <c r="M369" i="1"/>
  <c r="K360" i="1"/>
  <c r="U2" i="1"/>
  <c r="K357" i="1"/>
  <c r="K265" i="1"/>
  <c r="K55" i="1"/>
  <c r="L55" i="1" s="1"/>
  <c r="K161" i="1"/>
  <c r="M355" i="1"/>
  <c r="M343" i="1"/>
  <c r="K341" i="1"/>
  <c r="K368" i="1"/>
  <c r="K176" i="1"/>
  <c r="K179" i="1"/>
  <c r="M179" i="1" s="1"/>
  <c r="K180" i="1"/>
  <c r="K182" i="1"/>
  <c r="M182" i="1" s="1"/>
  <c r="K183" i="1"/>
  <c r="M183" i="1" s="1"/>
  <c r="K177" i="1"/>
  <c r="M177" i="1" s="1"/>
  <c r="K181" i="1"/>
  <c r="M181" i="1" s="1"/>
  <c r="K159" i="1"/>
  <c r="M159" i="1" s="1"/>
  <c r="K186" i="1"/>
  <c r="K184" i="1"/>
  <c r="K165" i="1"/>
  <c r="K158" i="1"/>
  <c r="K167" i="1"/>
  <c r="K168" i="1"/>
  <c r="K162" i="1"/>
  <c r="K170" i="1"/>
  <c r="K187" i="1"/>
  <c r="K171" i="1"/>
  <c r="K166" i="1"/>
  <c r="K174" i="1"/>
  <c r="K163" i="1"/>
  <c r="K185" i="1"/>
  <c r="K149" i="1"/>
  <c r="K134" i="1"/>
  <c r="K150" i="1"/>
  <c r="K145" i="1"/>
  <c r="K137" i="1"/>
  <c r="L137" i="1" s="1"/>
  <c r="K130" i="1"/>
  <c r="L130" i="1" s="1"/>
  <c r="K136" i="1"/>
  <c r="L136" i="1" s="1"/>
  <c r="K146" i="1"/>
  <c r="L146" i="1" s="1"/>
  <c r="K139" i="1"/>
  <c r="L139" i="1" s="1"/>
  <c r="K131" i="1"/>
  <c r="L131" i="1" s="1"/>
  <c r="K155" i="1"/>
  <c r="K133" i="1"/>
  <c r="L133" i="1" s="1"/>
  <c r="K154" i="1"/>
  <c r="K129" i="1"/>
  <c r="L129" i="1" s="1"/>
  <c r="K144" i="1"/>
  <c r="L144" i="1" s="1"/>
  <c r="K147" i="1"/>
  <c r="L147" i="1" s="1"/>
  <c r="K153" i="1"/>
  <c r="K156" i="1"/>
  <c r="K140" i="1"/>
  <c r="L140" i="1" s="1"/>
  <c r="K141" i="1"/>
  <c r="L141" i="1" s="1"/>
  <c r="K151" i="1"/>
  <c r="L151" i="1" s="1"/>
  <c r="K157" i="1"/>
  <c r="K115" i="1"/>
  <c r="K101" i="1"/>
  <c r="L101" i="1" s="1"/>
  <c r="K116" i="1"/>
  <c r="K126" i="1"/>
  <c r="L126" i="1" s="1"/>
  <c r="K104" i="1"/>
  <c r="L104" i="1" s="1"/>
  <c r="K119" i="1"/>
  <c r="L119" i="1" s="1"/>
  <c r="K111" i="1"/>
  <c r="L111" i="1" s="1"/>
  <c r="K82" i="1"/>
  <c r="L82" i="1" s="1"/>
  <c r="K79" i="1"/>
  <c r="L79" i="1" s="1"/>
  <c r="K67" i="1"/>
  <c r="L67" i="1" s="1"/>
  <c r="K72" i="1"/>
  <c r="L72" i="1" s="1"/>
  <c r="K87" i="1"/>
  <c r="L87" i="1" s="1"/>
  <c r="K71" i="1"/>
  <c r="L71" i="1" s="1"/>
  <c r="K81" i="1"/>
  <c r="L81" i="1" s="1"/>
  <c r="K90" i="1"/>
  <c r="L90" i="1" s="1"/>
  <c r="K80" i="1"/>
  <c r="L80" i="1" s="1"/>
  <c r="K85" i="1"/>
  <c r="L85" i="1" s="1"/>
  <c r="K91" i="1"/>
  <c r="L91" i="1" s="1"/>
  <c r="K94" i="1"/>
  <c r="L94" i="1" s="1"/>
  <c r="K73" i="1"/>
  <c r="L73" i="1" s="1"/>
  <c r="K75" i="1"/>
  <c r="L75" i="1" s="1"/>
  <c r="K78" i="1"/>
  <c r="L78" i="1" s="1"/>
  <c r="K88" i="1"/>
  <c r="L88" i="1" s="1"/>
  <c r="K68" i="1"/>
  <c r="L68" i="1" s="1"/>
  <c r="K76" i="1"/>
  <c r="L76" i="1" s="1"/>
  <c r="K83" i="1"/>
  <c r="L83" i="1" s="1"/>
  <c r="K93" i="1"/>
  <c r="L93" i="1" s="1"/>
  <c r="K86" i="1"/>
  <c r="L86" i="1" s="1"/>
  <c r="K57" i="1"/>
  <c r="L57" i="1" s="1"/>
  <c r="K60" i="1"/>
  <c r="L60" i="1" s="1"/>
  <c r="K63" i="1"/>
  <c r="L63" i="1" s="1"/>
  <c r="K64" i="1"/>
  <c r="L64" i="1" s="1"/>
  <c r="K58" i="1"/>
  <c r="L58" i="1" s="1"/>
  <c r="K65" i="1"/>
  <c r="L65" i="1" s="1"/>
  <c r="K61" i="1"/>
  <c r="L61" i="1" s="1"/>
  <c r="K62" i="1"/>
  <c r="L62" i="1" s="1"/>
  <c r="K35" i="1"/>
  <c r="L35" i="1" s="1"/>
  <c r="K29" i="1"/>
  <c r="K238" i="1"/>
  <c r="K244" i="1"/>
  <c r="K221" i="1"/>
  <c r="K225" i="1"/>
  <c r="K232" i="1"/>
  <c r="K231" i="1"/>
  <c r="K241" i="1"/>
  <c r="K249" i="1"/>
  <c r="K240" i="1"/>
  <c r="K248" i="1"/>
  <c r="K223" i="1"/>
  <c r="K226" i="1"/>
  <c r="K237" i="1"/>
  <c r="K228" i="1"/>
  <c r="K219" i="1"/>
  <c r="K227" i="1"/>
  <c r="K236" i="1"/>
  <c r="K234" i="1"/>
  <c r="K239" i="1"/>
  <c r="K246" i="1"/>
  <c r="K230" i="1"/>
  <c r="K242" i="1"/>
  <c r="K245" i="1"/>
  <c r="K212" i="1"/>
  <c r="K214" i="1"/>
  <c r="K206" i="1"/>
  <c r="K211" i="1"/>
  <c r="K217" i="1"/>
  <c r="M213" i="1"/>
  <c r="K210" i="1"/>
  <c r="K207" i="1"/>
  <c r="K209" i="1"/>
  <c r="K215" i="1"/>
  <c r="K277" i="1"/>
  <c r="K254" i="1"/>
  <c r="K251" i="1"/>
  <c r="K259" i="1"/>
  <c r="K270" i="1"/>
  <c r="K275" i="1"/>
  <c r="K276" i="1"/>
  <c r="K260" i="1"/>
  <c r="K272" i="1"/>
  <c r="K271" i="1"/>
  <c r="K266" i="1"/>
  <c r="M278" i="1"/>
  <c r="M258" i="1"/>
  <c r="K252" i="1"/>
  <c r="K257" i="1"/>
  <c r="K268" i="1"/>
  <c r="K267" i="1"/>
  <c r="K262" i="1"/>
  <c r="K279" i="1"/>
  <c r="M255" i="1"/>
  <c r="K250" i="1"/>
  <c r="K264" i="1"/>
  <c r="K263" i="1"/>
  <c r="K274" i="1"/>
  <c r="M269" i="1"/>
  <c r="K308" i="1"/>
  <c r="K310" i="1"/>
  <c r="K318" i="1"/>
  <c r="K327" i="1"/>
  <c r="K336" i="1"/>
  <c r="M323" i="1"/>
  <c r="K315" i="1"/>
  <c r="K312" i="1"/>
  <c r="K324" i="1"/>
  <c r="K329" i="1"/>
  <c r="K334" i="1"/>
  <c r="K335" i="1"/>
  <c r="K333" i="1"/>
  <c r="K338" i="1"/>
  <c r="M339" i="1"/>
  <c r="M319" i="1"/>
  <c r="M325" i="1"/>
  <c r="K322" i="1"/>
  <c r="K330" i="1"/>
  <c r="K332" i="1"/>
  <c r="K311" i="1"/>
  <c r="K354" i="1"/>
  <c r="K356" i="1"/>
  <c r="K344" i="1"/>
  <c r="K349" i="1"/>
  <c r="K364" i="1"/>
  <c r="K365" i="1"/>
  <c r="K347" i="1"/>
  <c r="K348" i="1"/>
  <c r="M348" i="1" s="1"/>
  <c r="K350" i="1"/>
  <c r="K353" i="1"/>
  <c r="K358" i="1"/>
  <c r="K371" i="1"/>
  <c r="K351" i="1"/>
  <c r="K363" i="1"/>
  <c r="K370" i="1"/>
  <c r="K346" i="1"/>
  <c r="K352" i="1"/>
  <c r="K367" i="1"/>
  <c r="K13" i="1"/>
  <c r="L13" i="1" s="1"/>
  <c r="K293" i="1"/>
  <c r="M293" i="1" s="1"/>
  <c r="K294" i="1"/>
  <c r="K297" i="1"/>
  <c r="K280" i="1"/>
  <c r="M280" i="1" s="1"/>
  <c r="K290" i="1"/>
  <c r="M290" i="1" s="1"/>
  <c r="K291" i="1"/>
  <c r="M291" i="1" s="1"/>
  <c r="K281" i="1"/>
  <c r="M281" i="1" s="1"/>
  <c r="K286" i="1"/>
  <c r="M286" i="1" s="1"/>
  <c r="K283" i="1"/>
  <c r="M283" i="1" s="1"/>
  <c r="K304" i="1"/>
  <c r="M304" i="1" s="1"/>
  <c r="K285" i="1"/>
  <c r="K287" i="1"/>
  <c r="K296" i="1"/>
  <c r="K306" i="1"/>
  <c r="K284" i="1"/>
  <c r="K292" i="1"/>
  <c r="K289" i="1"/>
  <c r="K295" i="1"/>
  <c r="K302" i="1"/>
  <c r="K282" i="1"/>
  <c r="M288" i="1"/>
  <c r="K303" i="1"/>
  <c r="K298" i="1"/>
  <c r="K299" i="1"/>
  <c r="K300" i="1"/>
  <c r="M301" i="1"/>
  <c r="K200" i="1"/>
  <c r="M200" i="1" s="1"/>
  <c r="K203" i="1"/>
  <c r="M203" i="1" s="1"/>
  <c r="K192" i="1"/>
  <c r="K205" i="1"/>
  <c r="M205" i="1" s="1"/>
  <c r="K191" i="1"/>
  <c r="K195" i="1"/>
  <c r="M195" i="1" s="1"/>
  <c r="K193" i="1"/>
  <c r="M193" i="1" s="1"/>
  <c r="K196" i="1"/>
  <c r="M196" i="1" s="1"/>
  <c r="K199" i="1"/>
  <c r="K202" i="1"/>
  <c r="K204" i="1"/>
  <c r="K190" i="1"/>
  <c r="M190" i="1" s="1"/>
  <c r="K198" i="1"/>
  <c r="K201" i="1"/>
  <c r="K194" i="1"/>
  <c r="K197" i="1"/>
  <c r="K189" i="1"/>
  <c r="K188" i="1"/>
  <c r="K18" i="1"/>
  <c r="K15" i="1"/>
  <c r="L15" i="1" s="1"/>
  <c r="K22" i="1"/>
  <c r="L22" i="1" s="1"/>
  <c r="K30" i="1"/>
  <c r="K34" i="1"/>
  <c r="L34" i="1" s="1"/>
  <c r="K9" i="1"/>
  <c r="K21" i="1"/>
  <c r="L21" i="1" s="1"/>
  <c r="K32" i="1"/>
  <c r="L32" i="1" s="1"/>
  <c r="K37" i="1"/>
  <c r="L37" i="1" s="1"/>
  <c r="K19" i="1"/>
  <c r="K10" i="1"/>
  <c r="K16" i="1"/>
  <c r="K24" i="1"/>
  <c r="L24" i="1" s="1"/>
  <c r="K31" i="1"/>
  <c r="L31" i="1" s="1"/>
  <c r="K7" i="1"/>
  <c r="L7" i="1" s="1"/>
  <c r="K26" i="1"/>
  <c r="L26" i="1" s="1"/>
  <c r="K25" i="1"/>
  <c r="L25" i="1" s="1"/>
  <c r="K27" i="1"/>
  <c r="L27" i="1" s="1"/>
  <c r="K11" i="1"/>
  <c r="L11" i="1" s="1"/>
  <c r="K36" i="1"/>
  <c r="L36" i="1" s="1"/>
  <c r="K8" i="1"/>
  <c r="L8" i="1" s="1"/>
  <c r="K14" i="1"/>
  <c r="L14" i="1" s="1"/>
  <c r="K20" i="1"/>
  <c r="L20" i="1" s="1"/>
  <c r="K23" i="1"/>
  <c r="L23" i="1" s="1"/>
  <c r="K28" i="1"/>
  <c r="L28" i="1" s="1"/>
  <c r="K33" i="1"/>
  <c r="L33" i="1" s="1"/>
  <c r="K12" i="1"/>
  <c r="L12" i="1" s="1"/>
  <c r="K17" i="1"/>
  <c r="L17" i="1" s="1"/>
  <c r="K39" i="1"/>
  <c r="K43" i="1"/>
  <c r="K47" i="1"/>
  <c r="K53" i="1"/>
  <c r="K48" i="1"/>
  <c r="K52" i="1"/>
  <c r="L52" i="1" s="1"/>
  <c r="K46" i="1"/>
  <c r="L46" i="1" s="1"/>
  <c r="K51" i="1"/>
  <c r="K45" i="1"/>
  <c r="K44" i="1"/>
  <c r="K41" i="1"/>
  <c r="L41" i="1" s="1"/>
  <c r="K40" i="1"/>
  <c r="L40" i="1" s="1"/>
  <c r="K49" i="1"/>
  <c r="L49" i="1" s="1"/>
  <c r="K38" i="1"/>
  <c r="L38" i="1" s="1"/>
  <c r="K42" i="1"/>
  <c r="L42" i="1" s="1"/>
  <c r="K50" i="1"/>
  <c r="L50" i="1" s="1"/>
  <c r="K54" i="1"/>
  <c r="L54" i="1" s="1"/>
  <c r="M152" i="1" l="1"/>
  <c r="L152" i="1"/>
  <c r="M150" i="1"/>
  <c r="L150" i="1"/>
  <c r="M149" i="1"/>
  <c r="L149" i="1"/>
  <c r="M148" i="1"/>
  <c r="L148" i="1"/>
  <c r="M145" i="1"/>
  <c r="L145" i="1"/>
  <c r="L143" i="1"/>
  <c r="L102" i="1"/>
  <c r="M16" i="1"/>
  <c r="L16" i="1"/>
  <c r="M10" i="1"/>
  <c r="L10" i="1"/>
  <c r="M19" i="1"/>
  <c r="L19" i="1"/>
  <c r="M53" i="1"/>
  <c r="L53" i="1"/>
  <c r="M47" i="1"/>
  <c r="L47" i="1"/>
  <c r="M29" i="1"/>
  <c r="L29" i="1"/>
  <c r="M45" i="1"/>
  <c r="L45" i="1"/>
  <c r="M39" i="1"/>
  <c r="L39" i="1"/>
  <c r="M51" i="1"/>
  <c r="L51" i="1"/>
  <c r="M30" i="1"/>
  <c r="L30" i="1"/>
  <c r="M48" i="1"/>
  <c r="L48" i="1"/>
  <c r="M18" i="1"/>
  <c r="L18" i="1"/>
  <c r="M142" i="1"/>
  <c r="L142" i="1"/>
  <c r="M44" i="1"/>
  <c r="L44" i="1"/>
  <c r="M43" i="1"/>
  <c r="L43" i="1"/>
  <c r="M9" i="1"/>
  <c r="L9" i="1"/>
  <c r="M138" i="1"/>
  <c r="L138" i="1"/>
  <c r="M135" i="1"/>
  <c r="M134" i="1"/>
  <c r="L134" i="1"/>
  <c r="M132" i="1"/>
  <c r="L132" i="1"/>
  <c r="M127" i="1"/>
  <c r="M125" i="1"/>
  <c r="L125" i="1"/>
  <c r="M112" i="1"/>
  <c r="M103" i="1"/>
  <c r="M128" i="1"/>
  <c r="M123" i="1"/>
  <c r="L123" i="1"/>
  <c r="M121" i="1"/>
  <c r="L121" i="1"/>
  <c r="M118" i="1"/>
  <c r="L118" i="1"/>
  <c r="M117" i="1"/>
  <c r="L117" i="1"/>
  <c r="M122" i="1"/>
  <c r="L122" i="1"/>
  <c r="M120" i="1"/>
  <c r="L120" i="1"/>
  <c r="M116" i="1"/>
  <c r="L116" i="1"/>
  <c r="M115" i="1"/>
  <c r="L115" i="1"/>
  <c r="M113" i="1"/>
  <c r="L113" i="1"/>
  <c r="M110" i="1"/>
  <c r="L110" i="1"/>
  <c r="M108" i="1"/>
  <c r="L108" i="1"/>
  <c r="M114" i="1"/>
  <c r="L114" i="1"/>
  <c r="M109" i="1"/>
  <c r="L109" i="1"/>
  <c r="M105" i="1"/>
  <c r="L105" i="1"/>
  <c r="M107" i="1"/>
  <c r="L107" i="1"/>
  <c r="M97" i="1"/>
  <c r="M66" i="1"/>
  <c r="M71" i="1"/>
  <c r="M59" i="1"/>
  <c r="M56" i="1"/>
  <c r="M366" i="1"/>
  <c r="M218" i="1"/>
  <c r="M74" i="1"/>
  <c r="M60" i="1"/>
  <c r="M160" i="1"/>
  <c r="M256" i="1"/>
  <c r="M235" i="1"/>
  <c r="M341" i="1"/>
  <c r="M331" i="1"/>
  <c r="M96" i="1"/>
  <c r="M69" i="1"/>
  <c r="M321" i="1"/>
  <c r="M244" i="1"/>
  <c r="M192" i="1"/>
  <c r="M77" i="1"/>
  <c r="M92" i="1"/>
  <c r="M100" i="1"/>
  <c r="M342" i="1"/>
  <c r="M84" i="1"/>
  <c r="M98" i="1"/>
  <c r="M99" i="1"/>
  <c r="M317" i="1"/>
  <c r="M253" i="1"/>
  <c r="M89" i="1"/>
  <c r="M70" i="1"/>
  <c r="M175" i="1"/>
  <c r="M316" i="1"/>
  <c r="M87" i="1"/>
  <c r="M95" i="1"/>
  <c r="M314" i="1"/>
  <c r="M216" i="1"/>
  <c r="M67" i="1"/>
  <c r="M81" i="1"/>
  <c r="M359" i="1"/>
  <c r="M307" i="1"/>
  <c r="M345" i="1"/>
  <c r="M224" i="1"/>
  <c r="M370" i="1"/>
  <c r="M261" i="1"/>
  <c r="M351" i="1"/>
  <c r="M57" i="1"/>
  <c r="M214" i="1"/>
  <c r="M238" i="1"/>
  <c r="M367" i="1"/>
  <c r="M340" i="1"/>
  <c r="M349" i="1"/>
  <c r="M368" i="1"/>
  <c r="M344" i="1"/>
  <c r="M363" i="1"/>
  <c r="M346" i="1"/>
  <c r="M365" i="1"/>
  <c r="M208" i="1"/>
  <c r="M309" i="1"/>
  <c r="M161" i="1"/>
  <c r="M358" i="1"/>
  <c r="M233" i="1"/>
  <c r="M206" i="1"/>
  <c r="M352" i="1"/>
  <c r="N235" i="1"/>
  <c r="M79" i="1"/>
  <c r="M350" i="1"/>
  <c r="M356" i="1"/>
  <c r="M361" i="1"/>
  <c r="M353" i="1"/>
  <c r="M347" i="1"/>
  <c r="M354" i="1"/>
  <c r="M364" i="1"/>
  <c r="M328" i="1"/>
  <c r="M55" i="1"/>
  <c r="M82" i="1"/>
  <c r="M247" i="1"/>
  <c r="M371" i="1"/>
  <c r="M360" i="1"/>
  <c r="M357" i="1"/>
  <c r="M265" i="1"/>
  <c r="M34" i="1"/>
  <c r="M35" i="1"/>
  <c r="M24" i="1"/>
  <c r="M13" i="1"/>
  <c r="M180" i="1"/>
  <c r="M176" i="1"/>
  <c r="M168" i="1"/>
  <c r="M167" i="1"/>
  <c r="M187" i="1"/>
  <c r="M163" i="1"/>
  <c r="M158" i="1"/>
  <c r="M165" i="1"/>
  <c r="M185" i="1"/>
  <c r="M170" i="1"/>
  <c r="M184" i="1"/>
  <c r="M174" i="1"/>
  <c r="M186" i="1"/>
  <c r="M166" i="1"/>
  <c r="M171" i="1"/>
  <c r="M162" i="1"/>
  <c r="M156" i="1"/>
  <c r="M146" i="1"/>
  <c r="M129" i="1"/>
  <c r="M153" i="1"/>
  <c r="M133" i="1"/>
  <c r="M136" i="1"/>
  <c r="M147" i="1"/>
  <c r="M155" i="1"/>
  <c r="M130" i="1"/>
  <c r="M154" i="1"/>
  <c r="M157" i="1"/>
  <c r="M144" i="1"/>
  <c r="M137" i="1"/>
  <c r="M140" i="1"/>
  <c r="M139" i="1"/>
  <c r="M151" i="1"/>
  <c r="M141" i="1"/>
  <c r="M131" i="1"/>
  <c r="M101" i="1"/>
  <c r="M104" i="1"/>
  <c r="M119" i="1"/>
  <c r="M111" i="1"/>
  <c r="M126" i="1"/>
  <c r="M72" i="1"/>
  <c r="M90" i="1"/>
  <c r="M94" i="1"/>
  <c r="M91" i="1"/>
  <c r="M86" i="1"/>
  <c r="M78" i="1"/>
  <c r="M75" i="1"/>
  <c r="M93" i="1"/>
  <c r="M83" i="1"/>
  <c r="M73" i="1"/>
  <c r="M88" i="1"/>
  <c r="M76" i="1"/>
  <c r="M85" i="1"/>
  <c r="M68" i="1"/>
  <c r="M80" i="1"/>
  <c r="M65" i="1"/>
  <c r="M58" i="1"/>
  <c r="M64" i="1"/>
  <c r="M61" i="1"/>
  <c r="M62" i="1"/>
  <c r="M63" i="1"/>
  <c r="M221" i="1"/>
  <c r="M225" i="1"/>
  <c r="M231" i="1"/>
  <c r="M232" i="1"/>
  <c r="M240" i="1"/>
  <c r="M227" i="1"/>
  <c r="N242" i="1"/>
  <c r="M236" i="1"/>
  <c r="M242" i="1"/>
  <c r="M237" i="1"/>
  <c r="M230" i="1"/>
  <c r="N237" i="1"/>
  <c r="M219" i="1"/>
  <c r="M226" i="1"/>
  <c r="M249" i="1"/>
  <c r="M223" i="1"/>
  <c r="M241" i="1"/>
  <c r="M228" i="1"/>
  <c r="N228" i="1"/>
  <c r="M239" i="1"/>
  <c r="M234" i="1"/>
  <c r="M245" i="1"/>
  <c r="M246" i="1"/>
  <c r="N249" i="1"/>
  <c r="M248" i="1"/>
  <c r="P249" i="1"/>
  <c r="M212" i="1"/>
  <c r="M210" i="1"/>
  <c r="M207" i="1"/>
  <c r="M217" i="1"/>
  <c r="N221" i="1"/>
  <c r="M215" i="1"/>
  <c r="M211" i="1"/>
  <c r="M209" i="1"/>
  <c r="N256" i="1"/>
  <c r="X4" i="1"/>
  <c r="X5" i="1" s="1"/>
  <c r="M250" i="1"/>
  <c r="M252" i="1"/>
  <c r="M276" i="1"/>
  <c r="N263" i="1"/>
  <c r="M257" i="1"/>
  <c r="M275" i="1"/>
  <c r="M270" i="1"/>
  <c r="N270" i="1"/>
  <c r="M264" i="1"/>
  <c r="M279" i="1"/>
  <c r="M259" i="1"/>
  <c r="M262" i="1"/>
  <c r="M266" i="1"/>
  <c r="P258" i="1"/>
  <c r="M251" i="1"/>
  <c r="M260" i="1"/>
  <c r="M274" i="1"/>
  <c r="M267" i="1"/>
  <c r="N277" i="1"/>
  <c r="M271" i="1"/>
  <c r="M254" i="1"/>
  <c r="M263" i="1"/>
  <c r="M268" i="1"/>
  <c r="M272" i="1"/>
  <c r="M277" i="1"/>
  <c r="M310" i="1"/>
  <c r="M308" i="1"/>
  <c r="M294" i="1"/>
  <c r="M297" i="1"/>
  <c r="M311" i="1"/>
  <c r="M335" i="1"/>
  <c r="M336" i="1"/>
  <c r="M332" i="1"/>
  <c r="M312" i="1"/>
  <c r="M338" i="1"/>
  <c r="M333" i="1"/>
  <c r="N340" i="1"/>
  <c r="M334" i="1"/>
  <c r="M330" i="1"/>
  <c r="M315" i="1"/>
  <c r="M322" i="1"/>
  <c r="N319" i="1"/>
  <c r="N326" i="1"/>
  <c r="M329" i="1"/>
  <c r="N333" i="1"/>
  <c r="M327" i="1"/>
  <c r="M324" i="1"/>
  <c r="M318" i="1"/>
  <c r="N347" i="1"/>
  <c r="N368" i="1"/>
  <c r="N361" i="1"/>
  <c r="N354" i="1"/>
  <c r="AA4" i="1"/>
  <c r="AA5" i="1" s="1"/>
  <c r="M15" i="1"/>
  <c r="M22" i="1"/>
  <c r="M37" i="1"/>
  <c r="M302" i="1"/>
  <c r="M306" i="1"/>
  <c r="N312" i="1"/>
  <c r="M296" i="1"/>
  <c r="M282" i="1"/>
  <c r="M298" i="1"/>
  <c r="M287" i="1"/>
  <c r="M303" i="1"/>
  <c r="M295" i="1"/>
  <c r="Y4" i="1"/>
  <c r="Y5" i="1" s="1"/>
  <c r="M284" i="1"/>
  <c r="M300" i="1"/>
  <c r="M289" i="1"/>
  <c r="M299" i="1"/>
  <c r="N305" i="1"/>
  <c r="N293" i="1"/>
  <c r="M292" i="1"/>
  <c r="N298" i="1"/>
  <c r="N284" i="1"/>
  <c r="M285" i="1"/>
  <c r="N291" i="1"/>
  <c r="M204" i="1"/>
  <c r="M199" i="1"/>
  <c r="M191" i="1"/>
  <c r="M202" i="1"/>
  <c r="M194" i="1"/>
  <c r="M197" i="1"/>
  <c r="M188" i="1"/>
  <c r="M201" i="1"/>
  <c r="M189" i="1"/>
  <c r="M198" i="1"/>
  <c r="M21" i="1"/>
  <c r="M32" i="1"/>
  <c r="M31" i="1"/>
  <c r="M27" i="1"/>
  <c r="M28" i="1"/>
  <c r="M25" i="1"/>
  <c r="M17" i="1"/>
  <c r="M20" i="1"/>
  <c r="M11" i="1"/>
  <c r="M23" i="1"/>
  <c r="M14" i="1"/>
  <c r="M26" i="1"/>
  <c r="M33" i="1"/>
  <c r="M8" i="1"/>
  <c r="M7" i="1"/>
  <c r="M36" i="1"/>
  <c r="M12" i="1"/>
  <c r="M46" i="1"/>
  <c r="M52" i="1"/>
  <c r="M50" i="1"/>
  <c r="M41" i="1"/>
  <c r="M38" i="1"/>
  <c r="M40" i="1"/>
  <c r="M42" i="1"/>
  <c r="M54" i="1"/>
  <c r="M49" i="1"/>
  <c r="S4" i="1" l="1"/>
  <c r="S5" i="1" s="1"/>
  <c r="R4" i="1"/>
  <c r="R5" i="1" s="1"/>
  <c r="T4" i="1"/>
  <c r="T5" i="1" s="1"/>
  <c r="W4" i="1"/>
  <c r="W5" i="1" s="1"/>
  <c r="V4" i="1"/>
  <c r="V5" i="1" s="1"/>
  <c r="U4" i="1"/>
  <c r="U5" i="1" s="1"/>
  <c r="Q4" i="1"/>
  <c r="Q5" i="1" s="1"/>
  <c r="Z4" i="1"/>
  <c r="Z5" i="1" s="1"/>
  <c r="P4" i="1"/>
  <c r="P5" i="1" s="1"/>
  <c r="AB5" i="1" l="1"/>
  <c r="AB4" i="1"/>
</calcChain>
</file>

<file path=xl/sharedStrings.xml><?xml version="1.0" encoding="utf-8"?>
<sst xmlns="http://schemas.openxmlformats.org/spreadsheetml/2006/main" count="180" uniqueCount="70">
  <si>
    <t>오늘</t>
    <phoneticPr fontId="1" type="noConversion"/>
  </si>
  <si>
    <t>월</t>
    <phoneticPr fontId="1" type="noConversion"/>
  </si>
  <si>
    <t>休</t>
    <phoneticPr fontId="1" type="noConversion"/>
  </si>
  <si>
    <t>勤</t>
    <phoneticPr fontId="1" type="noConversion"/>
  </si>
  <si>
    <t>日</t>
    <phoneticPr fontId="1" type="noConversion"/>
  </si>
  <si>
    <t>月</t>
    <phoneticPr fontId="1" type="noConversion"/>
  </si>
  <si>
    <t>火</t>
    <phoneticPr fontId="1" type="noConversion"/>
  </si>
  <si>
    <t>水</t>
    <phoneticPr fontId="1" type="noConversion"/>
  </si>
  <si>
    <t>木</t>
    <phoneticPr fontId="1" type="noConversion"/>
  </si>
  <si>
    <t>金</t>
    <phoneticPr fontId="1" type="noConversion"/>
  </si>
  <si>
    <t>土</t>
    <phoneticPr fontId="1" type="noConversion"/>
  </si>
  <si>
    <t>예상지출</t>
    <phoneticPr fontId="1" type="noConversion"/>
  </si>
  <si>
    <t>실지출</t>
    <phoneticPr fontId="1" type="noConversion"/>
  </si>
  <si>
    <t>月</t>
    <phoneticPr fontId="1" type="noConversion"/>
  </si>
  <si>
    <t>지출</t>
    <phoneticPr fontId="1" type="noConversion"/>
  </si>
  <si>
    <t>구분</t>
    <phoneticPr fontId="1" type="noConversion"/>
  </si>
  <si>
    <t>수입</t>
    <phoneticPr fontId="1" type="noConversion"/>
  </si>
  <si>
    <t>현금</t>
    <phoneticPr fontId="1" type="noConversion"/>
  </si>
  <si>
    <t>카드</t>
    <phoneticPr fontId="1" type="noConversion"/>
  </si>
  <si>
    <t>내용</t>
    <phoneticPr fontId="1" type="noConversion"/>
  </si>
  <si>
    <t>액수</t>
    <phoneticPr fontId="1" type="noConversion"/>
  </si>
  <si>
    <t>수단</t>
    <phoneticPr fontId="1" type="noConversion"/>
  </si>
  <si>
    <t>년도</t>
    <phoneticPr fontId="1" type="noConversion"/>
  </si>
  <si>
    <t>비고</t>
    <phoneticPr fontId="1" type="noConversion"/>
  </si>
  <si>
    <t>날짜</t>
    <phoneticPr fontId="1" type="noConversion"/>
  </si>
  <si>
    <t>월세</t>
    <phoneticPr fontId="1" type="noConversion"/>
  </si>
  <si>
    <t>예상수입</t>
    <phoneticPr fontId="1" type="noConversion"/>
  </si>
  <si>
    <t>지출</t>
    <phoneticPr fontId="1" type="noConversion"/>
  </si>
  <si>
    <t>수입</t>
    <phoneticPr fontId="1" type="noConversion"/>
  </si>
  <si>
    <t>실수입</t>
    <phoneticPr fontId="1" type="noConversion"/>
  </si>
  <si>
    <t>지출차액(지출-수입)</t>
    <phoneticPr fontId="1" type="noConversion"/>
  </si>
  <si>
    <t>계산지출</t>
    <phoneticPr fontId="1" type="noConversion"/>
  </si>
  <si>
    <t>예상외수익(예상지출-지출차액)</t>
    <phoneticPr fontId="1" type="noConversion"/>
  </si>
  <si>
    <t xml:space="preserve"> </t>
    <phoneticPr fontId="1" type="noConversion"/>
  </si>
  <si>
    <t>페이페이</t>
    <phoneticPr fontId="1" type="noConversion"/>
  </si>
  <si>
    <t>라쿠텐페이</t>
    <phoneticPr fontId="1" type="noConversion"/>
  </si>
  <si>
    <t>계좌이체</t>
    <phoneticPr fontId="1" type="noConversion"/>
  </si>
  <si>
    <t>수입</t>
    <phoneticPr fontId="1" type="noConversion"/>
  </si>
  <si>
    <t>지출</t>
    <phoneticPr fontId="1" type="noConversion"/>
  </si>
  <si>
    <t>월</t>
    <phoneticPr fontId="1" type="noConversion"/>
  </si>
  <si>
    <t>일</t>
    <phoneticPr fontId="1" type="noConversion"/>
  </si>
  <si>
    <t>월</t>
    <phoneticPr fontId="1" type="noConversion"/>
  </si>
  <si>
    <t>일</t>
    <phoneticPr fontId="1" type="noConversion"/>
  </si>
  <si>
    <t>날짜</t>
    <phoneticPr fontId="1" type="noConversion"/>
  </si>
  <si>
    <t>요일</t>
    <phoneticPr fontId="1" type="noConversion"/>
  </si>
  <si>
    <t>요일(수)</t>
    <phoneticPr fontId="1" type="noConversion"/>
  </si>
  <si>
    <t>상여</t>
    <phoneticPr fontId="1" type="noConversion"/>
  </si>
  <si>
    <t>월급</t>
    <phoneticPr fontId="1" type="noConversion"/>
  </si>
  <si>
    <t>지출</t>
    <phoneticPr fontId="1" type="noConversion"/>
  </si>
  <si>
    <t>고정비</t>
    <phoneticPr fontId="1" type="noConversion"/>
  </si>
  <si>
    <t>#</t>
    <phoneticPr fontId="1" type="noConversion"/>
  </si>
  <si>
    <t>년월</t>
    <phoneticPr fontId="1" type="noConversion"/>
  </si>
  <si>
    <t>저축액</t>
    <phoneticPr fontId="1" type="noConversion"/>
  </si>
  <si>
    <t>상여가산</t>
    <phoneticPr fontId="1" type="noConversion"/>
  </si>
  <si>
    <t>누적</t>
    <phoneticPr fontId="1" type="noConversion"/>
  </si>
  <si>
    <t>잔액</t>
    <phoneticPr fontId="1" type="noConversion"/>
  </si>
  <si>
    <t>년수</t>
    <phoneticPr fontId="1" type="noConversion"/>
  </si>
  <si>
    <t>나이</t>
    <phoneticPr fontId="1" type="noConversion"/>
  </si>
  <si>
    <t>지출합계</t>
    <phoneticPr fontId="1" type="noConversion"/>
  </si>
  <si>
    <t>연도(3월기준)</t>
    <phoneticPr fontId="1" type="noConversion"/>
  </si>
  <si>
    <t>저축액</t>
    <phoneticPr fontId="1" type="noConversion"/>
  </si>
  <si>
    <t>예상월급</t>
    <phoneticPr fontId="1" type="noConversion"/>
  </si>
  <si>
    <t>연봉</t>
    <phoneticPr fontId="1" type="noConversion"/>
  </si>
  <si>
    <t>정년</t>
    <phoneticPr fontId="1" type="noConversion"/>
  </si>
  <si>
    <t>계획3</t>
    <phoneticPr fontId="1" type="noConversion"/>
  </si>
  <si>
    <t>예상월급</t>
    <phoneticPr fontId="1" type="noConversion"/>
  </si>
  <si>
    <t>계획2</t>
    <phoneticPr fontId="1" type="noConversion"/>
  </si>
  <si>
    <t>계획1</t>
    <phoneticPr fontId="1" type="noConversion"/>
  </si>
  <si>
    <t>조기대출상환</t>
    <phoneticPr fontId="1" type="noConversion"/>
  </si>
  <si>
    <t>대출상환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</si>
</sst>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;[Red]#,##0"/>
    <numFmt numFmtId="177" formatCode="#,##0_ ;[Red]\-#,##0\ "/>
    <numFmt numFmtId="178" formatCode="#,##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sz val="8"/>
      <color theme="1"/>
      <name val="굴림"/>
      <family val="3"/>
      <charset val="129"/>
    </font>
    <font>
      <sz val="9"/>
      <color rgb="FFFF0000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55" fontId="2" fillId="0" borderId="0" xfId="0" applyNumberFormat="1" applyFont="1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1" xfId="0" applyFont="1" applyBorder="1">
      <alignment vertical="center"/>
    </xf>
    <xf numFmtId="0" fontId="2" fillId="0" borderId="1" xfId="0" applyFont="1" applyBorder="1" applyProtection="1">
      <alignment vertical="center"/>
      <protection locked="0"/>
    </xf>
    <xf numFmtId="55" fontId="2" fillId="0" borderId="2" xfId="0" applyNumberFormat="1" applyFont="1" applyBorder="1">
      <alignment vertical="center"/>
    </xf>
    <xf numFmtId="0" fontId="2" fillId="0" borderId="3" xfId="0" applyFont="1" applyBorder="1">
      <alignment vertical="center"/>
    </xf>
    <xf numFmtId="55" fontId="2" fillId="0" borderId="4" xfId="0" applyNumberFormat="1" applyFont="1" applyBorder="1">
      <alignment vertical="center"/>
    </xf>
    <xf numFmtId="0" fontId="2" fillId="0" borderId="5" xfId="0" applyFont="1" applyBorder="1" applyProtection="1">
      <alignment vertical="center"/>
      <protection locked="0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55" fontId="2" fillId="0" borderId="7" xfId="0" applyNumberFormat="1" applyFont="1" applyBorder="1">
      <alignment vertical="center"/>
    </xf>
    <xf numFmtId="0" fontId="2" fillId="0" borderId="8" xfId="0" applyFont="1" applyBorder="1" applyProtection="1">
      <alignment vertical="center"/>
      <protection locked="0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55" fontId="2" fillId="0" borderId="13" xfId="0" applyNumberFormat="1" applyFont="1" applyBorder="1">
      <alignment vertical="center"/>
    </xf>
    <xf numFmtId="0" fontId="2" fillId="0" borderId="14" xfId="0" applyFont="1" applyBorder="1" applyProtection="1">
      <alignment vertical="center"/>
      <protection locked="0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6" fontId="2" fillId="0" borderId="14" xfId="0" applyNumberFormat="1" applyFont="1" applyBorder="1">
      <alignment vertical="center"/>
    </xf>
    <xf numFmtId="176" fontId="2" fillId="0" borderId="5" xfId="0" applyNumberFormat="1" applyFont="1" applyBorder="1">
      <alignment vertical="center"/>
    </xf>
    <xf numFmtId="55" fontId="3" fillId="2" borderId="10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77" fontId="4" fillId="0" borderId="0" xfId="0" applyNumberFormat="1" applyFont="1">
      <alignment vertical="center"/>
    </xf>
    <xf numFmtId="0" fontId="0" fillId="0" borderId="16" xfId="0" applyBorder="1">
      <alignment vertical="center"/>
    </xf>
    <xf numFmtId="176" fontId="2" fillId="0" borderId="0" xfId="0" applyNumberFormat="1" applyFont="1">
      <alignment vertical="center"/>
    </xf>
    <xf numFmtId="0" fontId="4" fillId="5" borderId="0" xfId="0" applyFont="1" applyFill="1">
      <alignment vertical="center"/>
    </xf>
    <xf numFmtId="0" fontId="2" fillId="3" borderId="8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8" fontId="0" fillId="0" borderId="0" xfId="0" applyNumberFormat="1">
      <alignment vertical="center"/>
    </xf>
    <xf numFmtId="177" fontId="2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0" fontId="0" fillId="7" borderId="16" xfId="0" applyFill="1" applyBorder="1">
      <alignment vertical="center"/>
    </xf>
    <xf numFmtId="177" fontId="5" fillId="0" borderId="16" xfId="0" applyNumberFormat="1" applyFont="1" applyBorder="1">
      <alignment vertical="center"/>
    </xf>
    <xf numFmtId="0" fontId="0" fillId="2" borderId="16" xfId="0" applyFill="1" applyBorder="1">
      <alignment vertical="center"/>
    </xf>
    <xf numFmtId="0" fontId="0" fillId="6" borderId="16" xfId="0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177" fontId="5" fillId="0" borderId="16" xfId="0" applyNumberFormat="1" applyFont="1" applyFill="1" applyBorder="1">
      <alignment vertical="center"/>
    </xf>
    <xf numFmtId="177" fontId="5" fillId="7" borderId="16" xfId="0" applyNumberFormat="1" applyFont="1" applyFill="1" applyBorder="1">
      <alignment vertical="center"/>
    </xf>
    <xf numFmtId="0" fontId="0" fillId="7" borderId="0" xfId="0" applyFill="1">
      <alignment vertical="center"/>
    </xf>
    <xf numFmtId="0" fontId="0" fillId="7" borderId="16" xfId="0" applyFill="1" applyBorder="1" applyAlignment="1">
      <alignment horizontal="center" vertical="center"/>
    </xf>
    <xf numFmtId="177" fontId="7" fillId="3" borderId="16" xfId="0" applyNumberFormat="1" applyFont="1" applyFill="1" applyBorder="1">
      <alignment vertical="center"/>
    </xf>
    <xf numFmtId="177" fontId="5" fillId="2" borderId="16" xfId="0" applyNumberFormat="1" applyFont="1" applyFill="1" applyBorder="1">
      <alignment vertical="center"/>
    </xf>
    <xf numFmtId="0" fontId="0" fillId="2" borderId="0" xfId="0" applyFill="1">
      <alignment vertical="center"/>
    </xf>
    <xf numFmtId="0" fontId="9" fillId="8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</cellXfs>
  <cellStyles count="1">
    <cellStyle name="표준" xfId="0" builtinId="0"/>
  </cellStyles>
  <dxfs count="6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workbookViewId="0">
      <selection activeCell="G7" sqref="G7"/>
    </sheetView>
  </sheetViews>
  <sheetFormatPr defaultRowHeight="16.5" x14ac:dyDescent="0.3"/>
  <cols>
    <col min="3" max="4" width="3.21875" bestFit="1" customWidth="1"/>
    <col min="5" max="5" width="5.5546875" bestFit="1" customWidth="1"/>
    <col min="6" max="7" width="4.88671875" bestFit="1" customWidth="1"/>
  </cols>
  <sheetData>
    <row r="2" spans="2:7" x14ac:dyDescent="0.3">
      <c r="B2">
        <v>1</v>
      </c>
      <c r="C2" t="s">
        <v>4</v>
      </c>
      <c r="D2" t="s">
        <v>2</v>
      </c>
      <c r="E2">
        <v>5000</v>
      </c>
      <c r="F2" t="s">
        <v>14</v>
      </c>
      <c r="G2" t="s">
        <v>17</v>
      </c>
    </row>
    <row r="3" spans="2:7" x14ac:dyDescent="0.3">
      <c r="B3">
        <v>2</v>
      </c>
      <c r="C3" t="s">
        <v>5</v>
      </c>
      <c r="D3" t="s">
        <v>3</v>
      </c>
      <c r="E3">
        <v>1000</v>
      </c>
      <c r="F3" t="s">
        <v>16</v>
      </c>
      <c r="G3" t="s">
        <v>18</v>
      </c>
    </row>
    <row r="4" spans="2:7" x14ac:dyDescent="0.3">
      <c r="B4">
        <v>3</v>
      </c>
      <c r="C4" t="s">
        <v>6</v>
      </c>
      <c r="G4" t="s">
        <v>34</v>
      </c>
    </row>
    <row r="5" spans="2:7" x14ac:dyDescent="0.3">
      <c r="B5">
        <v>4</v>
      </c>
      <c r="C5" t="s">
        <v>7</v>
      </c>
      <c r="G5" t="s">
        <v>35</v>
      </c>
    </row>
    <row r="6" spans="2:7" x14ac:dyDescent="0.3">
      <c r="B6">
        <v>5</v>
      </c>
      <c r="C6" t="s">
        <v>8</v>
      </c>
      <c r="G6" t="s">
        <v>36</v>
      </c>
    </row>
    <row r="7" spans="2:7" x14ac:dyDescent="0.3">
      <c r="B7">
        <v>6</v>
      </c>
      <c r="C7" t="s">
        <v>9</v>
      </c>
    </row>
    <row r="8" spans="2:7" x14ac:dyDescent="0.3">
      <c r="B8">
        <v>7</v>
      </c>
      <c r="C8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1" sqref="B1"/>
    </sheetView>
  </sheetViews>
  <sheetFormatPr defaultRowHeight="16.5" x14ac:dyDescent="0.3"/>
  <cols>
    <col min="2" max="2" width="11" bestFit="1" customWidth="1"/>
    <col min="3" max="4" width="3.5546875" bestFit="1" customWidth="1"/>
  </cols>
  <sheetData>
    <row r="1" spans="1:4" x14ac:dyDescent="0.3">
      <c r="A1">
        <f>'2026년달력'!A1</f>
        <v>2026</v>
      </c>
      <c r="C1" t="s">
        <v>39</v>
      </c>
      <c r="D1" t="s">
        <v>40</v>
      </c>
    </row>
    <row r="2" spans="1:4" x14ac:dyDescent="0.3">
      <c r="B2" s="1">
        <f>DATE($A$1,C2,D2)</f>
        <v>46023</v>
      </c>
      <c r="C2">
        <v>1</v>
      </c>
      <c r="D2">
        <v>1</v>
      </c>
    </row>
    <row r="3" spans="1:4" x14ac:dyDescent="0.3">
      <c r="B3" s="1">
        <f t="shared" ref="B3:B25" si="0">DATE($A$1,C3,D3)</f>
        <v>46024</v>
      </c>
      <c r="C3">
        <v>1</v>
      </c>
      <c r="D3">
        <v>2</v>
      </c>
    </row>
    <row r="4" spans="1:4" x14ac:dyDescent="0.3">
      <c r="B4" s="1">
        <f t="shared" si="0"/>
        <v>46025</v>
      </c>
      <c r="C4">
        <v>1</v>
      </c>
      <c r="D4">
        <v>3</v>
      </c>
    </row>
    <row r="5" spans="1:4" x14ac:dyDescent="0.3">
      <c r="B5" s="1">
        <f t="shared" si="0"/>
        <v>46034</v>
      </c>
      <c r="C5">
        <v>1</v>
      </c>
      <c r="D5">
        <v>12</v>
      </c>
    </row>
    <row r="6" spans="1:4" x14ac:dyDescent="0.3">
      <c r="B6" s="1">
        <f t="shared" si="0"/>
        <v>46064</v>
      </c>
      <c r="C6">
        <v>2</v>
      </c>
      <c r="D6">
        <v>11</v>
      </c>
    </row>
    <row r="7" spans="1:4" x14ac:dyDescent="0.3">
      <c r="B7" s="1">
        <f t="shared" si="0"/>
        <v>46076</v>
      </c>
      <c r="C7">
        <v>2</v>
      </c>
      <c r="D7">
        <v>23</v>
      </c>
    </row>
    <row r="8" spans="1:4" x14ac:dyDescent="0.3">
      <c r="B8" s="1">
        <f t="shared" si="0"/>
        <v>46101</v>
      </c>
      <c r="C8">
        <v>3</v>
      </c>
      <c r="D8">
        <v>20</v>
      </c>
    </row>
    <row r="9" spans="1:4" x14ac:dyDescent="0.3">
      <c r="B9" s="1">
        <f t="shared" si="0"/>
        <v>46141</v>
      </c>
      <c r="C9">
        <v>4</v>
      </c>
      <c r="D9">
        <v>29</v>
      </c>
    </row>
    <row r="10" spans="1:4" x14ac:dyDescent="0.3">
      <c r="B10" s="1">
        <f t="shared" si="0"/>
        <v>46145</v>
      </c>
      <c r="C10">
        <v>5</v>
      </c>
      <c r="D10">
        <v>3</v>
      </c>
    </row>
    <row r="11" spans="1:4" x14ac:dyDescent="0.3">
      <c r="B11" s="1">
        <f t="shared" si="0"/>
        <v>46146</v>
      </c>
      <c r="C11">
        <v>5</v>
      </c>
      <c r="D11">
        <v>4</v>
      </c>
    </row>
    <row r="12" spans="1:4" x14ac:dyDescent="0.3">
      <c r="B12" s="1">
        <f t="shared" si="0"/>
        <v>46147</v>
      </c>
      <c r="C12">
        <v>5</v>
      </c>
      <c r="D12">
        <v>5</v>
      </c>
    </row>
    <row r="13" spans="1:4" x14ac:dyDescent="0.3">
      <c r="B13" s="1">
        <f t="shared" si="0"/>
        <v>46148</v>
      </c>
      <c r="C13">
        <v>5</v>
      </c>
      <c r="D13">
        <v>6</v>
      </c>
    </row>
    <row r="14" spans="1:4" x14ac:dyDescent="0.3">
      <c r="B14" s="1">
        <f t="shared" si="0"/>
        <v>46223</v>
      </c>
      <c r="C14">
        <v>7</v>
      </c>
      <c r="D14">
        <v>20</v>
      </c>
    </row>
    <row r="15" spans="1:4" x14ac:dyDescent="0.3">
      <c r="B15" s="1">
        <f t="shared" si="0"/>
        <v>46245</v>
      </c>
      <c r="C15">
        <v>8</v>
      </c>
      <c r="D15">
        <v>11</v>
      </c>
    </row>
    <row r="16" spans="1:4" x14ac:dyDescent="0.3">
      <c r="B16" s="1">
        <f t="shared" si="0"/>
        <v>46286</v>
      </c>
      <c r="C16">
        <v>9</v>
      </c>
      <c r="D16">
        <v>21</v>
      </c>
    </row>
    <row r="17" spans="2:4" x14ac:dyDescent="0.3">
      <c r="B17" s="1">
        <f t="shared" si="0"/>
        <v>46287</v>
      </c>
      <c r="C17">
        <v>9</v>
      </c>
      <c r="D17">
        <v>22</v>
      </c>
    </row>
    <row r="18" spans="2:4" x14ac:dyDescent="0.3">
      <c r="B18" s="1">
        <f t="shared" si="0"/>
        <v>46288</v>
      </c>
      <c r="C18">
        <v>9</v>
      </c>
      <c r="D18">
        <v>23</v>
      </c>
    </row>
    <row r="19" spans="2:4" x14ac:dyDescent="0.3">
      <c r="B19" s="1">
        <f t="shared" si="0"/>
        <v>46307</v>
      </c>
      <c r="C19">
        <v>10</v>
      </c>
      <c r="D19">
        <v>12</v>
      </c>
    </row>
    <row r="20" spans="2:4" x14ac:dyDescent="0.3">
      <c r="B20" s="1">
        <f t="shared" si="0"/>
        <v>46329</v>
      </c>
      <c r="C20">
        <v>11</v>
      </c>
      <c r="D20">
        <v>3</v>
      </c>
    </row>
    <row r="21" spans="2:4" x14ac:dyDescent="0.3">
      <c r="B21" s="1">
        <f t="shared" si="0"/>
        <v>46349</v>
      </c>
      <c r="C21">
        <v>11</v>
      </c>
      <c r="D21">
        <v>23</v>
      </c>
    </row>
    <row r="22" spans="2:4" x14ac:dyDescent="0.3">
      <c r="B22" s="1">
        <f t="shared" si="0"/>
        <v>46384</v>
      </c>
      <c r="C22">
        <v>12</v>
      </c>
      <c r="D22">
        <v>28</v>
      </c>
    </row>
    <row r="23" spans="2:4" x14ac:dyDescent="0.3">
      <c r="B23" s="1">
        <f t="shared" si="0"/>
        <v>46385</v>
      </c>
      <c r="C23">
        <v>12</v>
      </c>
      <c r="D23">
        <v>29</v>
      </c>
    </row>
    <row r="24" spans="2:4" x14ac:dyDescent="0.3">
      <c r="B24" s="1">
        <f t="shared" si="0"/>
        <v>46386</v>
      </c>
      <c r="C24">
        <v>12</v>
      </c>
      <c r="D24">
        <v>30</v>
      </c>
    </row>
    <row r="25" spans="2:4" x14ac:dyDescent="0.3">
      <c r="B25" s="1">
        <f t="shared" si="0"/>
        <v>46387</v>
      </c>
      <c r="C25">
        <v>12</v>
      </c>
      <c r="D25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A4" sqref="A4"/>
    </sheetView>
  </sheetViews>
  <sheetFormatPr defaultRowHeight="16.5" x14ac:dyDescent="0.3"/>
  <cols>
    <col min="1" max="1" width="7.5546875" bestFit="1" customWidth="1"/>
    <col min="2" max="2" width="8.77734375" customWidth="1"/>
    <col min="3" max="3" width="7.5546875" customWidth="1"/>
    <col min="4" max="4" width="8.77734375" customWidth="1"/>
    <col min="5" max="5" width="7.5546875" customWidth="1"/>
    <col min="6" max="6" width="8.77734375" customWidth="1"/>
    <col min="7" max="8" width="7.5546875" customWidth="1"/>
    <col min="9" max="9" width="3.5546875" bestFit="1" customWidth="1"/>
    <col min="12" max="12" width="10" bestFit="1" customWidth="1"/>
  </cols>
  <sheetData>
    <row r="1" spans="1:17" x14ac:dyDescent="0.3">
      <c r="A1" t="s">
        <v>47</v>
      </c>
      <c r="B1" s="42">
        <v>0</v>
      </c>
    </row>
    <row r="2" spans="1:17" x14ac:dyDescent="0.3">
      <c r="A2" t="s">
        <v>46</v>
      </c>
      <c r="B2" s="42">
        <v>0</v>
      </c>
      <c r="Q2" s="42"/>
    </row>
    <row r="3" spans="1:17" x14ac:dyDescent="0.3">
      <c r="A3" t="s">
        <v>55</v>
      </c>
      <c r="B3" s="42">
        <v>0</v>
      </c>
    </row>
    <row r="4" spans="1:17" x14ac:dyDescent="0.3">
      <c r="C4" t="s">
        <v>48</v>
      </c>
      <c r="D4" s="42">
        <v>0</v>
      </c>
      <c r="E4" s="40"/>
      <c r="F4" s="40"/>
      <c r="I4" t="s">
        <v>50</v>
      </c>
      <c r="J4" t="s">
        <v>51</v>
      </c>
      <c r="K4" t="s">
        <v>52</v>
      </c>
      <c r="L4" t="s">
        <v>54</v>
      </c>
      <c r="M4" t="s">
        <v>53</v>
      </c>
    </row>
    <row r="5" spans="1:17" x14ac:dyDescent="0.3">
      <c r="C5" t="s">
        <v>49</v>
      </c>
      <c r="D5" s="42">
        <v>0</v>
      </c>
      <c r="I5">
        <v>1</v>
      </c>
      <c r="J5">
        <v>202605</v>
      </c>
      <c r="K5" s="42">
        <f t="shared" ref="K5:K14" si="0">$F$9*I5</f>
        <v>0</v>
      </c>
      <c r="L5" s="42">
        <f>$B$3+K5-$Q$2</f>
        <v>0</v>
      </c>
    </row>
    <row r="6" spans="1:17" x14ac:dyDescent="0.3">
      <c r="C6" t="s">
        <v>25</v>
      </c>
      <c r="D6" s="42">
        <v>0</v>
      </c>
      <c r="I6">
        <v>2</v>
      </c>
      <c r="J6">
        <v>202606</v>
      </c>
      <c r="K6" s="42">
        <f t="shared" si="0"/>
        <v>0</v>
      </c>
      <c r="L6" s="42">
        <f t="shared" ref="L6:L14" si="1">$B$3+K6-$Q$2</f>
        <v>0</v>
      </c>
    </row>
    <row r="7" spans="1:17" x14ac:dyDescent="0.3">
      <c r="I7">
        <v>3</v>
      </c>
      <c r="J7">
        <v>202607</v>
      </c>
      <c r="K7" s="42">
        <f t="shared" si="0"/>
        <v>0</v>
      </c>
      <c r="L7" s="42">
        <f t="shared" si="1"/>
        <v>0</v>
      </c>
    </row>
    <row r="8" spans="1:17" x14ac:dyDescent="0.3">
      <c r="C8" t="s">
        <v>58</v>
      </c>
      <c r="D8" s="42">
        <f>SUM(D4:D6)</f>
        <v>0</v>
      </c>
      <c r="I8">
        <v>4</v>
      </c>
      <c r="J8">
        <v>202608</v>
      </c>
      <c r="K8" s="42">
        <f t="shared" si="0"/>
        <v>0</v>
      </c>
      <c r="L8" s="42">
        <f t="shared" si="1"/>
        <v>0</v>
      </c>
    </row>
    <row r="9" spans="1:17" x14ac:dyDescent="0.3">
      <c r="E9" t="s">
        <v>37</v>
      </c>
      <c r="F9" s="42">
        <f>B1-D8</f>
        <v>0</v>
      </c>
      <c r="I9">
        <v>5</v>
      </c>
      <c r="J9">
        <v>202609</v>
      </c>
      <c r="K9" s="42">
        <f t="shared" si="0"/>
        <v>0</v>
      </c>
      <c r="L9" s="42">
        <f t="shared" si="1"/>
        <v>0</v>
      </c>
    </row>
    <row r="10" spans="1:17" x14ac:dyDescent="0.3">
      <c r="I10">
        <v>6</v>
      </c>
      <c r="J10">
        <v>202610</v>
      </c>
      <c r="K10" s="42">
        <f t="shared" si="0"/>
        <v>0</v>
      </c>
      <c r="L10" s="42">
        <f t="shared" si="1"/>
        <v>0</v>
      </c>
    </row>
    <row r="11" spans="1:17" x14ac:dyDescent="0.3">
      <c r="I11">
        <v>7</v>
      </c>
      <c r="J11">
        <v>202611</v>
      </c>
      <c r="K11" s="42">
        <f t="shared" si="0"/>
        <v>0</v>
      </c>
      <c r="L11" s="42">
        <f t="shared" si="1"/>
        <v>0</v>
      </c>
    </row>
    <row r="12" spans="1:17" x14ac:dyDescent="0.3">
      <c r="I12">
        <v>8</v>
      </c>
      <c r="J12">
        <v>202612</v>
      </c>
      <c r="K12" s="42">
        <f t="shared" si="0"/>
        <v>0</v>
      </c>
      <c r="L12" s="42">
        <f t="shared" si="1"/>
        <v>0</v>
      </c>
    </row>
    <row r="13" spans="1:17" x14ac:dyDescent="0.3">
      <c r="I13">
        <v>9</v>
      </c>
      <c r="J13">
        <v>202701</v>
      </c>
      <c r="K13" s="42">
        <f t="shared" si="0"/>
        <v>0</v>
      </c>
      <c r="L13" s="42">
        <f t="shared" si="1"/>
        <v>0</v>
      </c>
    </row>
    <row r="14" spans="1:17" x14ac:dyDescent="0.3">
      <c r="I14">
        <v>10</v>
      </c>
      <c r="J14">
        <v>202702</v>
      </c>
      <c r="K14" s="42">
        <f t="shared" si="0"/>
        <v>0</v>
      </c>
      <c r="L14" s="42">
        <f t="shared" si="1"/>
        <v>0</v>
      </c>
      <c r="M14" s="42">
        <f>$B$2+L14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C1" sqref="C1"/>
    </sheetView>
  </sheetViews>
  <sheetFormatPr defaultRowHeight="16.5" x14ac:dyDescent="0.3"/>
  <cols>
    <col min="1" max="1" width="4.88671875" bestFit="1" customWidth="1"/>
    <col min="2" max="2" width="10" bestFit="1" customWidth="1"/>
    <col min="3" max="3" width="4.88671875" bestFit="1" customWidth="1"/>
    <col min="4" max="4" width="4.88671875" customWidth="1"/>
    <col min="5" max="5" width="9.6640625" bestFit="1" customWidth="1"/>
    <col min="6" max="7" width="10.88671875" customWidth="1"/>
    <col min="8" max="8" width="1.77734375" customWidth="1"/>
    <col min="9" max="9" width="5.21875" bestFit="1" customWidth="1"/>
    <col min="12" max="12" width="10" bestFit="1" customWidth="1"/>
    <col min="13" max="13" width="1.77734375" customWidth="1"/>
    <col min="14" max="14" width="5.21875" bestFit="1" customWidth="1"/>
    <col min="18" max="18" width="1.77734375" customWidth="1"/>
    <col min="19" max="19" width="5.21875" bestFit="1" customWidth="1"/>
  </cols>
  <sheetData>
    <row r="1" spans="1:22" x14ac:dyDescent="0.3">
      <c r="A1" s="46" t="s">
        <v>55</v>
      </c>
      <c r="B1" s="45">
        <f>'2026저축계획'!B3</f>
        <v>0</v>
      </c>
    </row>
    <row r="2" spans="1:22" x14ac:dyDescent="0.3">
      <c r="A2" s="46" t="s">
        <v>47</v>
      </c>
      <c r="B2" s="45">
        <f>'2026저축계획'!B1</f>
        <v>0</v>
      </c>
    </row>
    <row r="3" spans="1:22" x14ac:dyDescent="0.3">
      <c r="A3" s="46" t="s">
        <v>38</v>
      </c>
      <c r="B3" s="45">
        <f>'2026저축계획'!D8</f>
        <v>0</v>
      </c>
    </row>
    <row r="4" spans="1:22" x14ac:dyDescent="0.3">
      <c r="A4" s="46" t="s">
        <v>37</v>
      </c>
      <c r="B4" s="45">
        <f>B2-B3</f>
        <v>0</v>
      </c>
    </row>
    <row r="5" spans="1:22" x14ac:dyDescent="0.3">
      <c r="A5" s="46" t="s">
        <v>46</v>
      </c>
      <c r="B5" s="45">
        <f>'2026저축계획'!B2</f>
        <v>0</v>
      </c>
      <c r="I5" s="57" t="s">
        <v>67</v>
      </c>
      <c r="J5" s="58"/>
      <c r="K5" s="58"/>
      <c r="L5" s="58"/>
      <c r="N5" s="57" t="s">
        <v>66</v>
      </c>
      <c r="O5" s="58"/>
      <c r="P5" s="58"/>
      <c r="Q5" s="58"/>
      <c r="S5" s="57" t="s">
        <v>64</v>
      </c>
      <c r="T5" s="58"/>
      <c r="U5" s="58"/>
      <c r="V5" s="58"/>
    </row>
    <row r="6" spans="1:22" x14ac:dyDescent="0.3">
      <c r="C6" s="47" t="s">
        <v>56</v>
      </c>
      <c r="D6" s="47" t="s">
        <v>57</v>
      </c>
      <c r="E6" s="48" t="s">
        <v>59</v>
      </c>
      <c r="F6" s="49" t="s">
        <v>60</v>
      </c>
      <c r="G6" s="49" t="s">
        <v>55</v>
      </c>
      <c r="I6" s="53" t="s">
        <v>62</v>
      </c>
      <c r="J6" s="49" t="s">
        <v>65</v>
      </c>
      <c r="K6" s="49" t="s">
        <v>52</v>
      </c>
      <c r="L6" s="49" t="s">
        <v>55</v>
      </c>
      <c r="N6" s="53" t="s">
        <v>62</v>
      </c>
      <c r="O6" s="49" t="s">
        <v>61</v>
      </c>
      <c r="P6" s="49" t="s">
        <v>52</v>
      </c>
      <c r="Q6" s="49" t="s">
        <v>55</v>
      </c>
      <c r="S6" s="53" t="s">
        <v>62</v>
      </c>
      <c r="T6" s="49" t="s">
        <v>61</v>
      </c>
      <c r="U6" s="49" t="s">
        <v>52</v>
      </c>
      <c r="V6" s="49" t="s">
        <v>55</v>
      </c>
    </row>
    <row r="7" spans="1:22" x14ac:dyDescent="0.3">
      <c r="C7" s="35">
        <v>1</v>
      </c>
      <c r="D7" s="35">
        <v>37</v>
      </c>
      <c r="E7" s="35">
        <v>2027</v>
      </c>
      <c r="F7" s="45">
        <f>(($B$4*10))+($B$5)</f>
        <v>0</v>
      </c>
      <c r="G7" s="45">
        <f>$B$1+F7</f>
        <v>0</v>
      </c>
      <c r="I7" s="45">
        <v>500</v>
      </c>
      <c r="J7" s="45">
        <v>319200</v>
      </c>
      <c r="K7" s="45">
        <f>((J7-$B$3)*10)+($B$5)</f>
        <v>3192000</v>
      </c>
      <c r="L7" s="45">
        <f>$B$1+K7</f>
        <v>3192000</v>
      </c>
      <c r="N7" s="45">
        <v>500</v>
      </c>
      <c r="O7" s="45">
        <v>319200</v>
      </c>
      <c r="P7" s="45">
        <f>((O7-$B$3)*10)+($B$5)</f>
        <v>3192000</v>
      </c>
      <c r="Q7" s="45">
        <f>$B$1+P7</f>
        <v>3192000</v>
      </c>
      <c r="S7" s="45">
        <v>500</v>
      </c>
      <c r="T7" s="45">
        <v>319200</v>
      </c>
      <c r="U7" s="45">
        <f>((T7-$B$3)*10)+($B$5)</f>
        <v>3192000</v>
      </c>
      <c r="V7" s="45">
        <f>$B$1+U7</f>
        <v>3192000</v>
      </c>
    </row>
    <row r="8" spans="1:22" x14ac:dyDescent="0.3">
      <c r="C8" s="35">
        <v>2</v>
      </c>
      <c r="D8" s="35">
        <v>38</v>
      </c>
      <c r="E8" s="35">
        <v>2028</v>
      </c>
      <c r="F8" s="45">
        <f>(($B$4*12))+($B$5)</f>
        <v>0</v>
      </c>
      <c r="G8" s="45">
        <f>G7+F8</f>
        <v>0</v>
      </c>
      <c r="I8" s="45">
        <v>550</v>
      </c>
      <c r="J8" s="45">
        <v>352000</v>
      </c>
      <c r="K8" s="45">
        <f>((J8-$B$3)*12)+($B$5)</f>
        <v>4224000</v>
      </c>
      <c r="L8" s="45">
        <f>L7+K8</f>
        <v>7416000</v>
      </c>
      <c r="N8" s="45">
        <v>550</v>
      </c>
      <c r="O8" s="45">
        <v>352000</v>
      </c>
      <c r="P8" s="45">
        <f>((O8-$B$3)*12)+($B$5)</f>
        <v>4224000</v>
      </c>
      <c r="Q8" s="45">
        <f>Q7+P8</f>
        <v>7416000</v>
      </c>
      <c r="S8" s="45">
        <v>550</v>
      </c>
      <c r="T8" s="45">
        <v>352000</v>
      </c>
      <c r="U8" s="45">
        <f>((T8-$B$3)*12)+($B$5)</f>
        <v>4224000</v>
      </c>
      <c r="V8" s="45">
        <f>V7+U8</f>
        <v>7416000</v>
      </c>
    </row>
    <row r="9" spans="1:22" x14ac:dyDescent="0.3">
      <c r="C9" s="35">
        <v>3</v>
      </c>
      <c r="D9" s="35">
        <v>39</v>
      </c>
      <c r="E9" s="35">
        <v>2029</v>
      </c>
      <c r="F9" s="45">
        <f t="shared" ref="F9:F51" si="0">(($B$4*12))+($B$5)</f>
        <v>0</v>
      </c>
      <c r="G9" s="45">
        <f t="shared" ref="G9:G51" si="1">G8+F9</f>
        <v>0</v>
      </c>
      <c r="I9" s="45">
        <v>550</v>
      </c>
      <c r="J9" s="45">
        <v>352000</v>
      </c>
      <c r="K9" s="45">
        <f t="shared" ref="K9:K51" si="2">((J9-$B$3)*12)+($B$5)</f>
        <v>4224000</v>
      </c>
      <c r="L9" s="45">
        <f t="shared" ref="L9:L10" si="3">L8+K9</f>
        <v>11640000</v>
      </c>
      <c r="N9" s="45">
        <v>550</v>
      </c>
      <c r="O9" s="45">
        <v>352000</v>
      </c>
      <c r="P9" s="45">
        <f t="shared" ref="P9:P51" si="4">((O9-$B$3)*12)+($B$5)</f>
        <v>4224000</v>
      </c>
      <c r="Q9" s="45">
        <f t="shared" ref="Q9:Q37" si="5">Q8+P9</f>
        <v>11640000</v>
      </c>
      <c r="S9" s="45">
        <v>600</v>
      </c>
      <c r="T9" s="45">
        <v>382000</v>
      </c>
      <c r="U9" s="45">
        <f t="shared" ref="U9:U51" si="6">((T9-$B$3)*12)+($B$5)</f>
        <v>4584000</v>
      </c>
      <c r="V9" s="45">
        <f t="shared" ref="V9:V37" si="7">V8+U9</f>
        <v>12000000</v>
      </c>
    </row>
    <row r="10" spans="1:22" x14ac:dyDescent="0.3">
      <c r="C10" s="35">
        <v>4</v>
      </c>
      <c r="D10" s="35">
        <v>40</v>
      </c>
      <c r="E10" s="35">
        <v>2030</v>
      </c>
      <c r="F10" s="45">
        <f t="shared" si="0"/>
        <v>0</v>
      </c>
      <c r="G10" s="45">
        <f t="shared" si="1"/>
        <v>0</v>
      </c>
      <c r="I10" s="45">
        <v>550</v>
      </c>
      <c r="J10" s="45">
        <v>352000</v>
      </c>
      <c r="K10" s="45">
        <f t="shared" si="2"/>
        <v>4224000</v>
      </c>
      <c r="L10" s="45">
        <f t="shared" si="3"/>
        <v>15864000</v>
      </c>
      <c r="N10" s="45">
        <v>600</v>
      </c>
      <c r="O10" s="45">
        <v>382000</v>
      </c>
      <c r="P10" s="45">
        <f t="shared" si="4"/>
        <v>4584000</v>
      </c>
      <c r="Q10" s="45">
        <f t="shared" si="5"/>
        <v>16224000</v>
      </c>
      <c r="S10" s="45">
        <v>650</v>
      </c>
      <c r="T10" s="45">
        <v>415000</v>
      </c>
      <c r="U10" s="45">
        <f t="shared" si="6"/>
        <v>4980000</v>
      </c>
      <c r="V10" s="45">
        <f t="shared" si="7"/>
        <v>16980000</v>
      </c>
    </row>
    <row r="11" spans="1:22" x14ac:dyDescent="0.3">
      <c r="C11" s="35">
        <v>5</v>
      </c>
      <c r="D11" s="35">
        <v>41</v>
      </c>
      <c r="E11" s="35">
        <v>2031</v>
      </c>
      <c r="F11" s="45">
        <f t="shared" si="0"/>
        <v>0</v>
      </c>
      <c r="G11" s="45">
        <f t="shared" si="1"/>
        <v>0</v>
      </c>
      <c r="I11" s="45">
        <v>600</v>
      </c>
      <c r="J11" s="45">
        <v>382000</v>
      </c>
      <c r="K11" s="45">
        <f t="shared" si="2"/>
        <v>4584000</v>
      </c>
      <c r="L11" s="45">
        <f t="shared" ref="L11" si="8">L10+K11</f>
        <v>20448000</v>
      </c>
      <c r="N11" s="45">
        <v>600</v>
      </c>
      <c r="O11" s="45">
        <v>382000</v>
      </c>
      <c r="P11" s="45">
        <f t="shared" si="4"/>
        <v>4584000</v>
      </c>
      <c r="Q11" s="45">
        <f t="shared" si="5"/>
        <v>20808000</v>
      </c>
      <c r="S11" s="45">
        <v>700</v>
      </c>
      <c r="T11" s="45">
        <v>441000</v>
      </c>
      <c r="U11" s="45">
        <f t="shared" si="6"/>
        <v>5292000</v>
      </c>
      <c r="V11" s="45">
        <f t="shared" si="7"/>
        <v>22272000</v>
      </c>
    </row>
    <row r="12" spans="1:22" x14ac:dyDescent="0.3">
      <c r="C12" s="35">
        <v>6</v>
      </c>
      <c r="D12" s="35">
        <v>42</v>
      </c>
      <c r="E12" s="35">
        <v>2032</v>
      </c>
      <c r="F12" s="45">
        <f t="shared" si="0"/>
        <v>0</v>
      </c>
      <c r="G12" s="45">
        <f t="shared" si="1"/>
        <v>0</v>
      </c>
      <c r="I12" s="45">
        <v>600</v>
      </c>
      <c r="J12" s="45">
        <v>382000</v>
      </c>
      <c r="K12" s="45">
        <f t="shared" si="2"/>
        <v>4584000</v>
      </c>
      <c r="L12" s="45">
        <f t="shared" ref="L12:L13" si="9">L11+K12</f>
        <v>25032000</v>
      </c>
      <c r="N12" s="45">
        <v>650</v>
      </c>
      <c r="O12" s="45">
        <v>415000</v>
      </c>
      <c r="P12" s="45">
        <f t="shared" si="4"/>
        <v>4980000</v>
      </c>
      <c r="Q12" s="45">
        <f t="shared" si="5"/>
        <v>25788000</v>
      </c>
      <c r="S12" s="45">
        <v>750</v>
      </c>
      <c r="T12" s="45">
        <v>468000</v>
      </c>
      <c r="U12" s="45">
        <f t="shared" si="6"/>
        <v>5616000</v>
      </c>
      <c r="V12" s="45">
        <f t="shared" si="7"/>
        <v>27888000</v>
      </c>
    </row>
    <row r="13" spans="1:22" x14ac:dyDescent="0.3">
      <c r="C13" s="35">
        <v>7</v>
      </c>
      <c r="D13" s="35">
        <v>43</v>
      </c>
      <c r="E13" s="35">
        <v>2033</v>
      </c>
      <c r="F13" s="45">
        <f t="shared" si="0"/>
        <v>0</v>
      </c>
      <c r="G13" s="45">
        <f t="shared" si="1"/>
        <v>0</v>
      </c>
      <c r="I13" s="45">
        <v>600</v>
      </c>
      <c r="J13" s="45">
        <v>382000</v>
      </c>
      <c r="K13" s="45">
        <f t="shared" si="2"/>
        <v>4584000</v>
      </c>
      <c r="L13" s="45">
        <f t="shared" si="9"/>
        <v>29616000</v>
      </c>
      <c r="N13" s="45">
        <v>650</v>
      </c>
      <c r="O13" s="45">
        <v>415000</v>
      </c>
      <c r="P13" s="45">
        <f t="shared" si="4"/>
        <v>4980000</v>
      </c>
      <c r="Q13" s="45">
        <f t="shared" si="5"/>
        <v>30768000</v>
      </c>
      <c r="S13" s="45">
        <v>800</v>
      </c>
      <c r="T13" s="45">
        <v>493000</v>
      </c>
      <c r="U13" s="45">
        <f t="shared" si="6"/>
        <v>5916000</v>
      </c>
      <c r="V13" s="45">
        <f t="shared" si="7"/>
        <v>33804000</v>
      </c>
    </row>
    <row r="14" spans="1:22" x14ac:dyDescent="0.3">
      <c r="C14" s="35">
        <v>8</v>
      </c>
      <c r="D14" s="35">
        <v>44</v>
      </c>
      <c r="E14" s="35">
        <v>2034</v>
      </c>
      <c r="F14" s="45">
        <f t="shared" si="0"/>
        <v>0</v>
      </c>
      <c r="G14" s="45">
        <f t="shared" si="1"/>
        <v>0</v>
      </c>
      <c r="I14" s="45">
        <v>650</v>
      </c>
      <c r="J14" s="45">
        <v>415000</v>
      </c>
      <c r="K14" s="45">
        <f t="shared" si="2"/>
        <v>4980000</v>
      </c>
      <c r="L14" s="45">
        <f t="shared" ref="L14" si="10">L13+K14</f>
        <v>34596000</v>
      </c>
      <c r="N14" s="45">
        <v>700</v>
      </c>
      <c r="O14" s="45">
        <v>441000</v>
      </c>
      <c r="P14" s="45">
        <f t="shared" si="4"/>
        <v>5292000</v>
      </c>
      <c r="Q14" s="45">
        <f t="shared" si="5"/>
        <v>36060000</v>
      </c>
      <c r="S14" s="45">
        <v>850</v>
      </c>
      <c r="T14" s="45">
        <v>520000</v>
      </c>
      <c r="U14" s="45">
        <f t="shared" si="6"/>
        <v>6240000</v>
      </c>
      <c r="V14" s="45">
        <f t="shared" si="7"/>
        <v>40044000</v>
      </c>
    </row>
    <row r="15" spans="1:22" x14ac:dyDescent="0.3">
      <c r="C15" s="35">
        <v>9</v>
      </c>
      <c r="D15" s="35">
        <v>45</v>
      </c>
      <c r="E15" s="35">
        <v>2035</v>
      </c>
      <c r="F15" s="45">
        <f t="shared" si="0"/>
        <v>0</v>
      </c>
      <c r="G15" s="45">
        <f t="shared" si="1"/>
        <v>0</v>
      </c>
      <c r="I15" s="45">
        <v>650</v>
      </c>
      <c r="J15" s="45">
        <v>415000</v>
      </c>
      <c r="K15" s="45">
        <f t="shared" si="2"/>
        <v>4980000</v>
      </c>
      <c r="L15" s="45">
        <f t="shared" ref="L15:L17" si="11">L14+K15</f>
        <v>39576000</v>
      </c>
      <c r="N15" s="45">
        <v>700</v>
      </c>
      <c r="O15" s="45">
        <v>441000</v>
      </c>
      <c r="P15" s="45">
        <f t="shared" si="4"/>
        <v>5292000</v>
      </c>
      <c r="Q15" s="45">
        <f t="shared" si="5"/>
        <v>41352000</v>
      </c>
      <c r="S15" s="45">
        <v>900</v>
      </c>
      <c r="T15" s="50">
        <v>548000</v>
      </c>
      <c r="U15" s="45">
        <f t="shared" si="6"/>
        <v>6576000</v>
      </c>
      <c r="V15" s="45">
        <f t="shared" si="7"/>
        <v>46620000</v>
      </c>
    </row>
    <row r="16" spans="1:22" x14ac:dyDescent="0.3">
      <c r="C16" s="35">
        <v>10</v>
      </c>
      <c r="D16" s="35">
        <v>46</v>
      </c>
      <c r="E16" s="35">
        <v>2036</v>
      </c>
      <c r="F16" s="45">
        <f t="shared" si="0"/>
        <v>0</v>
      </c>
      <c r="G16" s="45">
        <f t="shared" si="1"/>
        <v>0</v>
      </c>
      <c r="I16" s="45">
        <v>650</v>
      </c>
      <c r="J16" s="45">
        <v>415000</v>
      </c>
      <c r="K16" s="45">
        <f t="shared" si="2"/>
        <v>4980000</v>
      </c>
      <c r="L16" s="45">
        <f t="shared" si="11"/>
        <v>44556000</v>
      </c>
      <c r="N16" s="45">
        <v>750</v>
      </c>
      <c r="O16" s="45">
        <v>468000</v>
      </c>
      <c r="P16" s="45">
        <f t="shared" si="4"/>
        <v>5616000</v>
      </c>
      <c r="Q16" s="45">
        <f t="shared" si="5"/>
        <v>46968000</v>
      </c>
      <c r="S16" s="45">
        <v>950</v>
      </c>
      <c r="T16" s="45">
        <v>582000</v>
      </c>
      <c r="U16" s="45">
        <f t="shared" si="6"/>
        <v>6984000</v>
      </c>
      <c r="V16" s="45">
        <f t="shared" si="7"/>
        <v>53604000</v>
      </c>
    </row>
    <row r="17" spans="2:22" x14ac:dyDescent="0.3">
      <c r="C17" s="35">
        <v>11</v>
      </c>
      <c r="D17" s="35">
        <v>47</v>
      </c>
      <c r="E17" s="35">
        <v>2037</v>
      </c>
      <c r="F17" s="45">
        <f t="shared" si="0"/>
        <v>0</v>
      </c>
      <c r="G17" s="45">
        <f t="shared" si="1"/>
        <v>0</v>
      </c>
      <c r="I17" s="45">
        <v>700</v>
      </c>
      <c r="J17" s="45">
        <v>441000</v>
      </c>
      <c r="K17" s="45">
        <f t="shared" si="2"/>
        <v>5292000</v>
      </c>
      <c r="L17" s="45">
        <f t="shared" si="11"/>
        <v>49848000</v>
      </c>
      <c r="N17" s="45">
        <v>750</v>
      </c>
      <c r="O17" s="45">
        <v>468000</v>
      </c>
      <c r="P17" s="45">
        <f t="shared" si="4"/>
        <v>5616000</v>
      </c>
      <c r="Q17" s="45">
        <f t="shared" si="5"/>
        <v>52584000</v>
      </c>
      <c r="S17" s="54">
        <v>1000</v>
      </c>
      <c r="T17" s="45">
        <v>608000</v>
      </c>
      <c r="U17" s="45">
        <f t="shared" si="6"/>
        <v>7296000</v>
      </c>
      <c r="V17" s="45">
        <f t="shared" si="7"/>
        <v>60900000</v>
      </c>
    </row>
    <row r="18" spans="2:22" x14ac:dyDescent="0.3">
      <c r="C18" s="35">
        <v>12</v>
      </c>
      <c r="D18" s="35">
        <v>48</v>
      </c>
      <c r="E18" s="35">
        <v>2038</v>
      </c>
      <c r="F18" s="45">
        <f t="shared" si="0"/>
        <v>0</v>
      </c>
      <c r="G18" s="45">
        <f t="shared" si="1"/>
        <v>0</v>
      </c>
      <c r="I18" s="45">
        <v>700</v>
      </c>
      <c r="J18" s="45">
        <v>441000</v>
      </c>
      <c r="K18" s="45">
        <f t="shared" si="2"/>
        <v>5292000</v>
      </c>
      <c r="L18" s="45">
        <f t="shared" ref="L18:L19" si="12">L17+K18</f>
        <v>55140000</v>
      </c>
      <c r="N18" s="45">
        <v>800</v>
      </c>
      <c r="O18" s="45">
        <v>493000</v>
      </c>
      <c r="P18" s="45">
        <f t="shared" si="4"/>
        <v>5916000</v>
      </c>
      <c r="Q18" s="45">
        <f t="shared" si="5"/>
        <v>58500000</v>
      </c>
      <c r="S18" s="45">
        <v>1000</v>
      </c>
      <c r="T18" s="45">
        <v>608000</v>
      </c>
      <c r="U18" s="45">
        <f t="shared" si="6"/>
        <v>7296000</v>
      </c>
      <c r="V18" s="45">
        <f t="shared" si="7"/>
        <v>68196000</v>
      </c>
    </row>
    <row r="19" spans="2:22" x14ac:dyDescent="0.3">
      <c r="C19" s="35">
        <v>13</v>
      </c>
      <c r="D19" s="35">
        <v>49</v>
      </c>
      <c r="E19" s="35">
        <v>2039</v>
      </c>
      <c r="F19" s="45">
        <f t="shared" si="0"/>
        <v>0</v>
      </c>
      <c r="G19" s="45">
        <f t="shared" si="1"/>
        <v>0</v>
      </c>
      <c r="I19" s="45">
        <v>700</v>
      </c>
      <c r="J19" s="45">
        <v>441000</v>
      </c>
      <c r="K19" s="45">
        <f t="shared" si="2"/>
        <v>5292000</v>
      </c>
      <c r="L19" s="45">
        <f t="shared" si="12"/>
        <v>60432000</v>
      </c>
      <c r="N19" s="45">
        <v>800</v>
      </c>
      <c r="O19" s="45">
        <v>493000</v>
      </c>
      <c r="P19" s="45">
        <f t="shared" si="4"/>
        <v>5916000</v>
      </c>
      <c r="Q19" s="45">
        <f t="shared" si="5"/>
        <v>64416000</v>
      </c>
      <c r="S19" s="45">
        <v>1000</v>
      </c>
      <c r="T19" s="45">
        <v>608000</v>
      </c>
      <c r="U19" s="45">
        <f t="shared" si="6"/>
        <v>7296000</v>
      </c>
      <c r="V19" s="45">
        <f t="shared" si="7"/>
        <v>75492000</v>
      </c>
    </row>
    <row r="20" spans="2:22" x14ac:dyDescent="0.3">
      <c r="C20" s="35">
        <v>14</v>
      </c>
      <c r="D20" s="35">
        <v>50</v>
      </c>
      <c r="E20" s="35">
        <v>2040</v>
      </c>
      <c r="F20" s="45">
        <f t="shared" si="0"/>
        <v>0</v>
      </c>
      <c r="G20" s="45">
        <f t="shared" si="1"/>
        <v>0</v>
      </c>
      <c r="I20" s="45">
        <v>750</v>
      </c>
      <c r="J20" s="45">
        <v>468000</v>
      </c>
      <c r="K20" s="45">
        <f t="shared" si="2"/>
        <v>5616000</v>
      </c>
      <c r="L20" s="45">
        <f t="shared" ref="L20" si="13">L19+K20</f>
        <v>66048000</v>
      </c>
      <c r="N20" s="45">
        <v>850</v>
      </c>
      <c r="O20" s="45">
        <v>520000</v>
      </c>
      <c r="P20" s="45">
        <f t="shared" si="4"/>
        <v>6240000</v>
      </c>
      <c r="Q20" s="45">
        <f t="shared" si="5"/>
        <v>70656000</v>
      </c>
      <c r="S20" s="45">
        <v>1000</v>
      </c>
      <c r="T20" s="45">
        <v>608000</v>
      </c>
      <c r="U20" s="45">
        <f t="shared" si="6"/>
        <v>7296000</v>
      </c>
      <c r="V20" s="45">
        <f t="shared" si="7"/>
        <v>82788000</v>
      </c>
    </row>
    <row r="21" spans="2:22" x14ac:dyDescent="0.3">
      <c r="C21" s="35">
        <v>15</v>
      </c>
      <c r="D21" s="35">
        <v>51</v>
      </c>
      <c r="E21" s="35">
        <v>2041</v>
      </c>
      <c r="F21" s="45">
        <f t="shared" si="0"/>
        <v>0</v>
      </c>
      <c r="G21" s="45">
        <f t="shared" si="1"/>
        <v>0</v>
      </c>
      <c r="I21" s="45">
        <v>750</v>
      </c>
      <c r="J21" s="45">
        <v>468000</v>
      </c>
      <c r="K21" s="45">
        <f t="shared" si="2"/>
        <v>5616000</v>
      </c>
      <c r="L21" s="45">
        <f t="shared" ref="L21:L22" si="14">L20+K21</f>
        <v>71664000</v>
      </c>
      <c r="N21" s="45">
        <v>850</v>
      </c>
      <c r="O21" s="45">
        <v>520000</v>
      </c>
      <c r="P21" s="45">
        <f t="shared" si="4"/>
        <v>6240000</v>
      </c>
      <c r="Q21" s="45">
        <f t="shared" si="5"/>
        <v>76896000</v>
      </c>
      <c r="S21" s="45">
        <v>1000</v>
      </c>
      <c r="T21" s="45">
        <v>608000</v>
      </c>
      <c r="U21" s="45">
        <f t="shared" si="6"/>
        <v>7296000</v>
      </c>
      <c r="V21" s="45">
        <f t="shared" si="7"/>
        <v>90084000</v>
      </c>
    </row>
    <row r="22" spans="2:22" x14ac:dyDescent="0.3">
      <c r="C22" s="35">
        <v>16</v>
      </c>
      <c r="D22" s="35">
        <v>52</v>
      </c>
      <c r="E22" s="35">
        <v>2042</v>
      </c>
      <c r="F22" s="45">
        <f t="shared" si="0"/>
        <v>0</v>
      </c>
      <c r="G22" s="45">
        <f t="shared" si="1"/>
        <v>0</v>
      </c>
      <c r="I22" s="45">
        <v>750</v>
      </c>
      <c r="J22" s="45">
        <v>468000</v>
      </c>
      <c r="K22" s="45">
        <f t="shared" si="2"/>
        <v>5616000</v>
      </c>
      <c r="L22" s="45">
        <f t="shared" si="14"/>
        <v>77280000</v>
      </c>
      <c r="N22" s="45">
        <v>900</v>
      </c>
      <c r="O22" s="50">
        <v>548000</v>
      </c>
      <c r="P22" s="45">
        <f t="shared" si="4"/>
        <v>6576000</v>
      </c>
      <c r="Q22" s="45">
        <f t="shared" si="5"/>
        <v>83472000</v>
      </c>
      <c r="S22" s="45">
        <v>1000</v>
      </c>
      <c r="T22" s="45">
        <v>608000</v>
      </c>
      <c r="U22" s="45">
        <f t="shared" si="6"/>
        <v>7296000</v>
      </c>
      <c r="V22" s="45">
        <f t="shared" si="7"/>
        <v>97380000</v>
      </c>
    </row>
    <row r="23" spans="2:22" x14ac:dyDescent="0.3">
      <c r="C23" s="35">
        <v>17</v>
      </c>
      <c r="D23" s="35">
        <v>53</v>
      </c>
      <c r="E23" s="35">
        <v>2043</v>
      </c>
      <c r="F23" s="45">
        <f t="shared" si="0"/>
        <v>0</v>
      </c>
      <c r="G23" s="45">
        <f t="shared" si="1"/>
        <v>0</v>
      </c>
      <c r="I23" s="45">
        <v>800</v>
      </c>
      <c r="J23" s="45">
        <v>493000</v>
      </c>
      <c r="K23" s="45">
        <f t="shared" si="2"/>
        <v>5916000</v>
      </c>
      <c r="L23" s="45">
        <f t="shared" ref="L23" si="15">L22+K23</f>
        <v>83196000</v>
      </c>
      <c r="N23" s="45">
        <v>900</v>
      </c>
      <c r="O23" s="50">
        <v>548000</v>
      </c>
      <c r="P23" s="45">
        <f t="shared" si="4"/>
        <v>6576000</v>
      </c>
      <c r="Q23" s="45">
        <f t="shared" si="5"/>
        <v>90048000</v>
      </c>
      <c r="S23" s="45">
        <v>1000</v>
      </c>
      <c r="T23" s="45">
        <v>608000</v>
      </c>
      <c r="U23" s="45">
        <f t="shared" si="6"/>
        <v>7296000</v>
      </c>
      <c r="V23" s="45">
        <f t="shared" si="7"/>
        <v>104676000</v>
      </c>
    </row>
    <row r="24" spans="2:22" x14ac:dyDescent="0.3">
      <c r="C24" s="35">
        <v>18</v>
      </c>
      <c r="D24" s="35">
        <v>54</v>
      </c>
      <c r="E24" s="35">
        <v>2044</v>
      </c>
      <c r="F24" s="45">
        <f t="shared" si="0"/>
        <v>0</v>
      </c>
      <c r="G24" s="45">
        <f t="shared" si="1"/>
        <v>0</v>
      </c>
      <c r="I24" s="45">
        <v>800</v>
      </c>
      <c r="J24" s="45">
        <v>493000</v>
      </c>
      <c r="K24" s="45">
        <f t="shared" si="2"/>
        <v>5916000</v>
      </c>
      <c r="L24" s="45">
        <f t="shared" ref="L24:L26" si="16">L23+K24</f>
        <v>89112000</v>
      </c>
      <c r="N24" s="45">
        <v>950</v>
      </c>
      <c r="O24" s="45">
        <v>582000</v>
      </c>
      <c r="P24" s="45">
        <f t="shared" si="4"/>
        <v>6984000</v>
      </c>
      <c r="Q24" s="45">
        <f t="shared" si="5"/>
        <v>97032000</v>
      </c>
      <c r="S24" s="45">
        <v>1000</v>
      </c>
      <c r="T24" s="45">
        <v>608000</v>
      </c>
      <c r="U24" s="45">
        <f t="shared" si="6"/>
        <v>7296000</v>
      </c>
      <c r="V24" s="45">
        <f t="shared" si="7"/>
        <v>111972000</v>
      </c>
    </row>
    <row r="25" spans="2:22" x14ac:dyDescent="0.3">
      <c r="B25" s="43" t="s">
        <v>63</v>
      </c>
      <c r="C25" s="44">
        <v>19</v>
      </c>
      <c r="D25" s="44">
        <v>55</v>
      </c>
      <c r="E25" s="44">
        <v>2045</v>
      </c>
      <c r="F25" s="51">
        <f t="shared" si="0"/>
        <v>0</v>
      </c>
      <c r="G25" s="51">
        <f t="shared" si="1"/>
        <v>0</v>
      </c>
      <c r="H25" s="52"/>
      <c r="I25" s="51">
        <v>800</v>
      </c>
      <c r="J25" s="51">
        <v>493000</v>
      </c>
      <c r="K25" s="51">
        <f t="shared" si="2"/>
        <v>5916000</v>
      </c>
      <c r="L25" s="51">
        <f t="shared" si="16"/>
        <v>95028000</v>
      </c>
      <c r="M25" s="52"/>
      <c r="N25" s="51">
        <v>950</v>
      </c>
      <c r="O25" s="51">
        <v>582000</v>
      </c>
      <c r="P25" s="51">
        <f t="shared" si="4"/>
        <v>6984000</v>
      </c>
      <c r="Q25" s="51">
        <f t="shared" si="5"/>
        <v>104016000</v>
      </c>
      <c r="R25" s="52"/>
      <c r="S25" s="51">
        <v>1000</v>
      </c>
      <c r="T25" s="51">
        <v>608000</v>
      </c>
      <c r="U25" s="51">
        <f t="shared" si="6"/>
        <v>7296000</v>
      </c>
      <c r="V25" s="51">
        <f t="shared" si="7"/>
        <v>119268000</v>
      </c>
    </row>
    <row r="26" spans="2:22" x14ac:dyDescent="0.3">
      <c r="C26" s="35">
        <v>20</v>
      </c>
      <c r="D26" s="35">
        <v>56</v>
      </c>
      <c r="E26" s="35">
        <v>2046</v>
      </c>
      <c r="F26" s="45">
        <f t="shared" si="0"/>
        <v>0</v>
      </c>
      <c r="G26" s="45">
        <f t="shared" si="1"/>
        <v>0</v>
      </c>
      <c r="I26" s="45">
        <v>850</v>
      </c>
      <c r="J26" s="45">
        <v>520000</v>
      </c>
      <c r="K26" s="45">
        <f t="shared" si="2"/>
        <v>6240000</v>
      </c>
      <c r="L26" s="45">
        <f t="shared" si="16"/>
        <v>101268000</v>
      </c>
      <c r="N26" s="54">
        <v>1000</v>
      </c>
      <c r="O26" s="45">
        <v>608000</v>
      </c>
      <c r="P26" s="45">
        <f t="shared" si="4"/>
        <v>7296000</v>
      </c>
      <c r="Q26" s="45">
        <f t="shared" si="5"/>
        <v>111312000</v>
      </c>
      <c r="S26" s="45">
        <v>1000</v>
      </c>
      <c r="T26" s="45">
        <v>608000</v>
      </c>
      <c r="U26" s="45">
        <f t="shared" si="6"/>
        <v>7296000</v>
      </c>
      <c r="V26" s="45">
        <f t="shared" si="7"/>
        <v>126564000</v>
      </c>
    </row>
    <row r="27" spans="2:22" x14ac:dyDescent="0.3">
      <c r="C27" s="35">
        <v>21</v>
      </c>
      <c r="D27" s="35">
        <v>57</v>
      </c>
      <c r="E27" s="35">
        <v>2047</v>
      </c>
      <c r="F27" s="45">
        <f t="shared" si="0"/>
        <v>0</v>
      </c>
      <c r="G27" s="45">
        <f t="shared" si="1"/>
        <v>0</v>
      </c>
      <c r="I27" s="45">
        <v>850</v>
      </c>
      <c r="J27" s="45">
        <v>520000</v>
      </c>
      <c r="K27" s="45">
        <f t="shared" si="2"/>
        <v>6240000</v>
      </c>
      <c r="L27" s="45">
        <f t="shared" ref="L27:L29" si="17">L26+K27</f>
        <v>107508000</v>
      </c>
      <c r="N27" s="45">
        <v>1000</v>
      </c>
      <c r="O27" s="45">
        <v>608000</v>
      </c>
      <c r="P27" s="45">
        <f t="shared" si="4"/>
        <v>7296000</v>
      </c>
      <c r="Q27" s="45">
        <f t="shared" si="5"/>
        <v>118608000</v>
      </c>
      <c r="S27" s="45">
        <v>1000</v>
      </c>
      <c r="T27" s="45">
        <v>608000</v>
      </c>
      <c r="U27" s="45">
        <f t="shared" si="6"/>
        <v>7296000</v>
      </c>
      <c r="V27" s="45">
        <f t="shared" si="7"/>
        <v>133860000</v>
      </c>
    </row>
    <row r="28" spans="2:22" x14ac:dyDescent="0.3">
      <c r="C28" s="35">
        <v>22</v>
      </c>
      <c r="D28" s="35">
        <v>58</v>
      </c>
      <c r="E28" s="35">
        <v>2048</v>
      </c>
      <c r="F28" s="45">
        <f t="shared" si="0"/>
        <v>0</v>
      </c>
      <c r="G28" s="45">
        <f t="shared" si="1"/>
        <v>0</v>
      </c>
      <c r="I28" s="45">
        <v>850</v>
      </c>
      <c r="J28" s="45">
        <v>520000</v>
      </c>
      <c r="K28" s="45">
        <f t="shared" si="2"/>
        <v>6240000</v>
      </c>
      <c r="L28" s="45">
        <f t="shared" si="17"/>
        <v>113748000</v>
      </c>
      <c r="N28" s="45">
        <v>900</v>
      </c>
      <c r="O28" s="50">
        <v>548000</v>
      </c>
      <c r="P28" s="50">
        <f t="shared" si="4"/>
        <v>6576000</v>
      </c>
      <c r="Q28" s="45">
        <f t="shared" ref="Q28" si="18">Q27+P28</f>
        <v>125184000</v>
      </c>
      <c r="S28" s="45">
        <v>900</v>
      </c>
      <c r="T28" s="50">
        <v>548000</v>
      </c>
      <c r="U28" s="50">
        <f t="shared" si="6"/>
        <v>6576000</v>
      </c>
      <c r="V28" s="45">
        <f t="shared" si="7"/>
        <v>140436000</v>
      </c>
    </row>
    <row r="29" spans="2:22" x14ac:dyDescent="0.3">
      <c r="C29" s="35">
        <v>23</v>
      </c>
      <c r="D29" s="35">
        <v>59</v>
      </c>
      <c r="E29" s="35">
        <v>2049</v>
      </c>
      <c r="F29" s="45">
        <f t="shared" si="0"/>
        <v>0</v>
      </c>
      <c r="G29" s="45">
        <f t="shared" si="1"/>
        <v>0</v>
      </c>
      <c r="I29" s="45">
        <v>900</v>
      </c>
      <c r="J29" s="50">
        <v>548000</v>
      </c>
      <c r="K29" s="50">
        <f t="shared" si="2"/>
        <v>6576000</v>
      </c>
      <c r="L29" s="45">
        <f t="shared" si="17"/>
        <v>120324000</v>
      </c>
      <c r="N29" s="45">
        <v>900</v>
      </c>
      <c r="O29" s="50">
        <v>548000</v>
      </c>
      <c r="P29" s="50">
        <f t="shared" si="4"/>
        <v>6576000</v>
      </c>
      <c r="Q29" s="45">
        <f t="shared" si="5"/>
        <v>131760000</v>
      </c>
      <c r="S29" s="45">
        <v>900</v>
      </c>
      <c r="T29" s="50">
        <v>548000</v>
      </c>
      <c r="U29" s="50">
        <f t="shared" si="6"/>
        <v>6576000</v>
      </c>
      <c r="V29" s="45">
        <f t="shared" si="7"/>
        <v>147012000</v>
      </c>
    </row>
    <row r="30" spans="2:22" x14ac:dyDescent="0.3">
      <c r="C30" s="44">
        <v>24</v>
      </c>
      <c r="D30" s="44">
        <v>60</v>
      </c>
      <c r="E30" s="44">
        <v>2050</v>
      </c>
      <c r="F30" s="51">
        <f t="shared" si="0"/>
        <v>0</v>
      </c>
      <c r="G30" s="51">
        <f t="shared" si="1"/>
        <v>0</v>
      </c>
      <c r="H30" s="52"/>
      <c r="I30" s="51">
        <v>900</v>
      </c>
      <c r="J30" s="51">
        <v>548000</v>
      </c>
      <c r="K30" s="51">
        <f t="shared" si="2"/>
        <v>6576000</v>
      </c>
      <c r="L30" s="51">
        <f t="shared" ref="L30:L32" si="19">L29+K30</f>
        <v>126900000</v>
      </c>
      <c r="M30" s="52"/>
      <c r="N30" s="51">
        <v>850</v>
      </c>
      <c r="O30" s="51">
        <v>520000</v>
      </c>
      <c r="P30" s="51">
        <f t="shared" si="4"/>
        <v>6240000</v>
      </c>
      <c r="Q30" s="51">
        <f t="shared" ref="Q30" si="20">Q29+P30</f>
        <v>138000000</v>
      </c>
      <c r="R30" s="52"/>
      <c r="S30" s="51">
        <v>850</v>
      </c>
      <c r="T30" s="51">
        <v>520000</v>
      </c>
      <c r="U30" s="51">
        <f t="shared" si="6"/>
        <v>6240000</v>
      </c>
      <c r="V30" s="51">
        <f t="shared" si="7"/>
        <v>153252000</v>
      </c>
    </row>
    <row r="31" spans="2:22" x14ac:dyDescent="0.3">
      <c r="C31" s="35">
        <v>25</v>
      </c>
      <c r="D31" s="35">
        <v>61</v>
      </c>
      <c r="E31" s="35">
        <v>2051</v>
      </c>
      <c r="F31" s="45">
        <f t="shared" si="0"/>
        <v>0</v>
      </c>
      <c r="G31" s="45">
        <f t="shared" si="1"/>
        <v>0</v>
      </c>
      <c r="I31" s="45">
        <v>900</v>
      </c>
      <c r="J31" s="50">
        <v>548000</v>
      </c>
      <c r="K31" s="50">
        <f t="shared" si="2"/>
        <v>6576000</v>
      </c>
      <c r="L31" s="45">
        <f t="shared" si="19"/>
        <v>133476000</v>
      </c>
      <c r="N31" s="45">
        <v>850</v>
      </c>
      <c r="O31" s="45">
        <v>520000</v>
      </c>
      <c r="P31" s="50">
        <f t="shared" si="4"/>
        <v>6240000</v>
      </c>
      <c r="Q31" s="45">
        <f t="shared" si="5"/>
        <v>144240000</v>
      </c>
      <c r="S31" s="45">
        <v>850</v>
      </c>
      <c r="T31" s="45">
        <v>520000</v>
      </c>
      <c r="U31" s="50">
        <f t="shared" si="6"/>
        <v>6240000</v>
      </c>
      <c r="V31" s="45">
        <f t="shared" si="7"/>
        <v>159492000</v>
      </c>
    </row>
    <row r="32" spans="2:22" x14ac:dyDescent="0.3">
      <c r="C32" s="35">
        <v>26</v>
      </c>
      <c r="D32" s="35">
        <v>62</v>
      </c>
      <c r="E32" s="35">
        <v>2052</v>
      </c>
      <c r="F32" s="45">
        <f t="shared" si="0"/>
        <v>0</v>
      </c>
      <c r="G32" s="45">
        <f t="shared" si="1"/>
        <v>0</v>
      </c>
      <c r="I32" s="45">
        <v>950</v>
      </c>
      <c r="J32" s="50">
        <v>582000</v>
      </c>
      <c r="K32" s="50">
        <f t="shared" si="2"/>
        <v>6984000</v>
      </c>
      <c r="L32" s="45">
        <f t="shared" si="19"/>
        <v>140460000</v>
      </c>
      <c r="N32" s="45">
        <v>700</v>
      </c>
      <c r="O32" s="45">
        <v>441000</v>
      </c>
      <c r="P32" s="45">
        <f t="shared" si="4"/>
        <v>5292000</v>
      </c>
      <c r="Q32" s="45">
        <f t="shared" ref="Q32:Q33" si="21">Q31+P32</f>
        <v>149532000</v>
      </c>
      <c r="S32" s="45">
        <v>700</v>
      </c>
      <c r="T32" s="45">
        <v>441000</v>
      </c>
      <c r="U32" s="45">
        <f t="shared" si="6"/>
        <v>5292000</v>
      </c>
      <c r="V32" s="45">
        <f t="shared" si="7"/>
        <v>164784000</v>
      </c>
    </row>
    <row r="33" spans="2:22" x14ac:dyDescent="0.3">
      <c r="C33" s="35">
        <v>27</v>
      </c>
      <c r="D33" s="35">
        <v>63</v>
      </c>
      <c r="E33" s="35">
        <v>2053</v>
      </c>
      <c r="F33" s="45">
        <f t="shared" si="0"/>
        <v>0</v>
      </c>
      <c r="G33" s="45">
        <f t="shared" si="1"/>
        <v>0</v>
      </c>
      <c r="I33" s="45">
        <v>950</v>
      </c>
      <c r="J33" s="50">
        <v>582000</v>
      </c>
      <c r="K33" s="50">
        <f t="shared" si="2"/>
        <v>6984000</v>
      </c>
      <c r="L33" s="45">
        <f t="shared" ref="L33:L35" si="22">L32+K33</f>
        <v>147444000</v>
      </c>
      <c r="N33" s="45">
        <v>700</v>
      </c>
      <c r="O33" s="45">
        <v>441000</v>
      </c>
      <c r="P33" s="45">
        <f t="shared" si="4"/>
        <v>5292000</v>
      </c>
      <c r="Q33" s="45">
        <f t="shared" si="21"/>
        <v>154824000</v>
      </c>
      <c r="S33" s="45">
        <v>700</v>
      </c>
      <c r="T33" s="45">
        <v>441000</v>
      </c>
      <c r="U33" s="45">
        <f t="shared" si="6"/>
        <v>5292000</v>
      </c>
      <c r="V33" s="45">
        <f t="shared" si="7"/>
        <v>170076000</v>
      </c>
    </row>
    <row r="34" spans="2:22" x14ac:dyDescent="0.3">
      <c r="C34" s="35">
        <v>28</v>
      </c>
      <c r="D34" s="35">
        <v>64</v>
      </c>
      <c r="E34" s="35">
        <v>2054</v>
      </c>
      <c r="F34" s="45">
        <f t="shared" si="0"/>
        <v>0</v>
      </c>
      <c r="G34" s="45">
        <f t="shared" si="1"/>
        <v>0</v>
      </c>
      <c r="I34" s="45">
        <v>950</v>
      </c>
      <c r="J34" s="50">
        <v>582000</v>
      </c>
      <c r="K34" s="50">
        <f t="shared" si="2"/>
        <v>6984000</v>
      </c>
      <c r="L34" s="45">
        <f t="shared" si="22"/>
        <v>154428000</v>
      </c>
      <c r="N34" s="45">
        <v>600</v>
      </c>
      <c r="O34" s="45">
        <v>382000</v>
      </c>
      <c r="P34" s="50">
        <f t="shared" si="4"/>
        <v>4584000</v>
      </c>
      <c r="Q34" s="45">
        <f t="shared" si="5"/>
        <v>159408000</v>
      </c>
      <c r="S34" s="45">
        <v>600</v>
      </c>
      <c r="T34" s="45">
        <v>382000</v>
      </c>
      <c r="U34" s="50">
        <f t="shared" si="6"/>
        <v>4584000</v>
      </c>
      <c r="V34" s="45">
        <f t="shared" si="7"/>
        <v>174660000</v>
      </c>
    </row>
    <row r="35" spans="2:22" x14ac:dyDescent="0.3">
      <c r="C35" s="44">
        <v>29</v>
      </c>
      <c r="D35" s="44">
        <v>65</v>
      </c>
      <c r="E35" s="44">
        <v>2055</v>
      </c>
      <c r="F35" s="51">
        <f t="shared" si="0"/>
        <v>0</v>
      </c>
      <c r="G35" s="51">
        <f t="shared" si="1"/>
        <v>0</v>
      </c>
      <c r="H35" s="52"/>
      <c r="I35" s="54">
        <v>1000</v>
      </c>
      <c r="J35" s="51">
        <v>608000</v>
      </c>
      <c r="K35" s="51">
        <f t="shared" si="2"/>
        <v>7296000</v>
      </c>
      <c r="L35" s="51">
        <f t="shared" si="22"/>
        <v>161724000</v>
      </c>
      <c r="M35" s="52"/>
      <c r="N35" s="51">
        <v>600</v>
      </c>
      <c r="O35" s="51">
        <v>382000</v>
      </c>
      <c r="P35" s="51">
        <f t="shared" si="4"/>
        <v>4584000</v>
      </c>
      <c r="Q35" s="51">
        <f t="shared" si="5"/>
        <v>163992000</v>
      </c>
      <c r="R35" s="52"/>
      <c r="S35" s="51">
        <v>600</v>
      </c>
      <c r="T35" s="51">
        <v>382000</v>
      </c>
      <c r="U35" s="51">
        <f t="shared" si="6"/>
        <v>4584000</v>
      </c>
      <c r="V35" s="51">
        <f t="shared" si="7"/>
        <v>179244000</v>
      </c>
    </row>
    <row r="36" spans="2:22" x14ac:dyDescent="0.3">
      <c r="B36" s="43" t="s">
        <v>68</v>
      </c>
      <c r="C36" s="46">
        <v>30</v>
      </c>
      <c r="D36" s="46">
        <v>66</v>
      </c>
      <c r="E36" s="46">
        <v>2056</v>
      </c>
      <c r="F36" s="55">
        <f t="shared" si="0"/>
        <v>0</v>
      </c>
      <c r="G36" s="55">
        <f t="shared" si="1"/>
        <v>0</v>
      </c>
      <c r="H36" s="56"/>
      <c r="I36" s="55">
        <v>1000</v>
      </c>
      <c r="J36" s="55">
        <v>608000</v>
      </c>
      <c r="K36" s="55">
        <f t="shared" si="2"/>
        <v>7296000</v>
      </c>
      <c r="L36" s="55">
        <f t="shared" ref="L36:L37" si="23">L35+K36</f>
        <v>169020000</v>
      </c>
      <c r="M36" s="56"/>
      <c r="N36" s="55">
        <v>500</v>
      </c>
      <c r="O36" s="55">
        <v>319200</v>
      </c>
      <c r="P36" s="55">
        <f t="shared" si="4"/>
        <v>3830400</v>
      </c>
      <c r="Q36" s="55">
        <f t="shared" si="5"/>
        <v>167822400</v>
      </c>
      <c r="R36" s="56"/>
      <c r="S36" s="55">
        <v>500</v>
      </c>
      <c r="T36" s="55">
        <v>319200</v>
      </c>
      <c r="U36" s="55">
        <f t="shared" si="6"/>
        <v>3830400</v>
      </c>
      <c r="V36" s="55">
        <f t="shared" si="7"/>
        <v>183074400</v>
      </c>
    </row>
    <row r="37" spans="2:22" x14ac:dyDescent="0.3">
      <c r="C37" s="46">
        <v>31</v>
      </c>
      <c r="D37" s="46">
        <v>67</v>
      </c>
      <c r="E37" s="46">
        <v>2057</v>
      </c>
      <c r="F37" s="55">
        <f t="shared" si="0"/>
        <v>0</v>
      </c>
      <c r="G37" s="55">
        <f t="shared" si="1"/>
        <v>0</v>
      </c>
      <c r="H37" s="56"/>
      <c r="I37" s="55">
        <v>1000</v>
      </c>
      <c r="J37" s="55">
        <v>608000</v>
      </c>
      <c r="K37" s="55">
        <f t="shared" si="2"/>
        <v>7296000</v>
      </c>
      <c r="L37" s="55">
        <f t="shared" si="23"/>
        <v>176316000</v>
      </c>
      <c r="M37" s="56"/>
      <c r="N37" s="55">
        <v>500</v>
      </c>
      <c r="O37" s="55">
        <v>319200</v>
      </c>
      <c r="P37" s="55">
        <f t="shared" si="4"/>
        <v>3830400</v>
      </c>
      <c r="Q37" s="55">
        <f t="shared" si="5"/>
        <v>171652800</v>
      </c>
      <c r="R37" s="56"/>
      <c r="S37" s="55">
        <v>500</v>
      </c>
      <c r="T37" s="55">
        <v>319200</v>
      </c>
      <c r="U37" s="55">
        <f t="shared" si="6"/>
        <v>3830400</v>
      </c>
      <c r="V37" s="55">
        <f t="shared" si="7"/>
        <v>186904800</v>
      </c>
    </row>
    <row r="38" spans="2:22" x14ac:dyDescent="0.3">
      <c r="C38" s="46">
        <v>32</v>
      </c>
      <c r="D38" s="46">
        <v>68</v>
      </c>
      <c r="E38" s="46">
        <v>2058</v>
      </c>
      <c r="F38" s="55">
        <f t="shared" si="0"/>
        <v>0</v>
      </c>
      <c r="G38" s="55">
        <f t="shared" si="1"/>
        <v>0</v>
      </c>
      <c r="H38" s="56"/>
      <c r="I38" s="55">
        <v>1000</v>
      </c>
      <c r="J38" s="55">
        <v>608000</v>
      </c>
      <c r="K38" s="55">
        <f t="shared" si="2"/>
        <v>7296000</v>
      </c>
      <c r="L38" s="55">
        <f t="shared" ref="L38:L51" si="24">L37+K38</f>
        <v>183612000</v>
      </c>
      <c r="M38" s="56"/>
      <c r="N38" s="55">
        <v>500</v>
      </c>
      <c r="O38" s="55">
        <v>319200</v>
      </c>
      <c r="P38" s="55">
        <f t="shared" si="4"/>
        <v>3830400</v>
      </c>
      <c r="Q38" s="55">
        <f t="shared" ref="Q38:Q51" si="25">Q37+P38</f>
        <v>175483200</v>
      </c>
      <c r="R38" s="56"/>
      <c r="S38" s="55">
        <v>500</v>
      </c>
      <c r="T38" s="55">
        <v>319200</v>
      </c>
      <c r="U38" s="55">
        <f t="shared" si="6"/>
        <v>3830400</v>
      </c>
      <c r="V38" s="55">
        <f t="shared" ref="V38:V51" si="26">V37+U38</f>
        <v>190735200</v>
      </c>
    </row>
    <row r="39" spans="2:22" x14ac:dyDescent="0.3">
      <c r="C39" s="46">
        <v>33</v>
      </c>
      <c r="D39" s="46">
        <v>69</v>
      </c>
      <c r="E39" s="46">
        <v>2059</v>
      </c>
      <c r="F39" s="55">
        <f t="shared" si="0"/>
        <v>0</v>
      </c>
      <c r="G39" s="55">
        <f t="shared" si="1"/>
        <v>0</v>
      </c>
      <c r="H39" s="56"/>
      <c r="I39" s="55">
        <v>1000</v>
      </c>
      <c r="J39" s="55">
        <v>608000</v>
      </c>
      <c r="K39" s="55">
        <f t="shared" si="2"/>
        <v>7296000</v>
      </c>
      <c r="L39" s="55">
        <f t="shared" si="24"/>
        <v>190908000</v>
      </c>
      <c r="M39" s="56"/>
      <c r="N39" s="55">
        <v>500</v>
      </c>
      <c r="O39" s="55">
        <v>319200</v>
      </c>
      <c r="P39" s="55">
        <f t="shared" si="4"/>
        <v>3830400</v>
      </c>
      <c r="Q39" s="55">
        <f t="shared" si="25"/>
        <v>179313600</v>
      </c>
      <c r="R39" s="56"/>
      <c r="S39" s="55">
        <v>500</v>
      </c>
      <c r="T39" s="55">
        <v>319200</v>
      </c>
      <c r="U39" s="55">
        <f t="shared" si="6"/>
        <v>3830400</v>
      </c>
      <c r="V39" s="55">
        <f t="shared" si="26"/>
        <v>194565600</v>
      </c>
    </row>
    <row r="40" spans="2:22" x14ac:dyDescent="0.3">
      <c r="C40" s="46">
        <v>34</v>
      </c>
      <c r="D40" s="46">
        <v>70</v>
      </c>
      <c r="E40" s="46">
        <v>2060</v>
      </c>
      <c r="F40" s="55">
        <f t="shared" si="0"/>
        <v>0</v>
      </c>
      <c r="G40" s="55">
        <f t="shared" si="1"/>
        <v>0</v>
      </c>
      <c r="H40" s="56"/>
      <c r="I40" s="55">
        <v>1000</v>
      </c>
      <c r="J40" s="55">
        <v>608000</v>
      </c>
      <c r="K40" s="55">
        <f t="shared" si="2"/>
        <v>7296000</v>
      </c>
      <c r="L40" s="55">
        <f t="shared" si="24"/>
        <v>198204000</v>
      </c>
      <c r="M40" s="56"/>
      <c r="N40" s="55">
        <v>500</v>
      </c>
      <c r="O40" s="55">
        <v>319200</v>
      </c>
      <c r="P40" s="55">
        <f t="shared" si="4"/>
        <v>3830400</v>
      </c>
      <c r="Q40" s="55">
        <f t="shared" si="25"/>
        <v>183144000</v>
      </c>
      <c r="R40" s="56"/>
      <c r="S40" s="55">
        <v>500</v>
      </c>
      <c r="T40" s="55">
        <v>319200</v>
      </c>
      <c r="U40" s="55">
        <f t="shared" si="6"/>
        <v>3830400</v>
      </c>
      <c r="V40" s="55">
        <f t="shared" si="26"/>
        <v>198396000</v>
      </c>
    </row>
    <row r="41" spans="2:22" x14ac:dyDescent="0.3">
      <c r="B41" s="43" t="s">
        <v>69</v>
      </c>
      <c r="C41" s="46">
        <v>35</v>
      </c>
      <c r="D41" s="46">
        <v>71</v>
      </c>
      <c r="E41" s="46">
        <v>2061</v>
      </c>
      <c r="F41" s="55">
        <f t="shared" si="0"/>
        <v>0</v>
      </c>
      <c r="G41" s="55">
        <f t="shared" si="1"/>
        <v>0</v>
      </c>
      <c r="H41" s="56"/>
      <c r="I41" s="55">
        <v>1000</v>
      </c>
      <c r="J41" s="55">
        <v>608000</v>
      </c>
      <c r="K41" s="55">
        <f t="shared" si="2"/>
        <v>7296000</v>
      </c>
      <c r="L41" s="55">
        <f t="shared" si="24"/>
        <v>205500000</v>
      </c>
      <c r="M41" s="56"/>
      <c r="N41" s="55">
        <v>500</v>
      </c>
      <c r="O41" s="55">
        <v>319200</v>
      </c>
      <c r="P41" s="55">
        <f t="shared" si="4"/>
        <v>3830400</v>
      </c>
      <c r="Q41" s="55">
        <f t="shared" si="25"/>
        <v>186974400</v>
      </c>
      <c r="R41" s="56"/>
      <c r="S41" s="55">
        <v>500</v>
      </c>
      <c r="T41" s="55">
        <v>319200</v>
      </c>
      <c r="U41" s="55">
        <f t="shared" si="6"/>
        <v>3830400</v>
      </c>
      <c r="V41" s="55">
        <f t="shared" si="26"/>
        <v>202226400</v>
      </c>
    </row>
    <row r="42" spans="2:22" x14ac:dyDescent="0.3">
      <c r="C42" s="46">
        <v>36</v>
      </c>
      <c r="D42" s="46">
        <v>72</v>
      </c>
      <c r="E42" s="46">
        <v>2062</v>
      </c>
      <c r="F42" s="55">
        <f t="shared" si="0"/>
        <v>0</v>
      </c>
      <c r="G42" s="55">
        <f t="shared" si="1"/>
        <v>0</v>
      </c>
      <c r="H42" s="56"/>
      <c r="I42" s="55">
        <v>1000</v>
      </c>
      <c r="J42" s="55">
        <v>608000</v>
      </c>
      <c r="K42" s="55">
        <f t="shared" si="2"/>
        <v>7296000</v>
      </c>
      <c r="L42" s="55">
        <f t="shared" si="24"/>
        <v>212796000</v>
      </c>
      <c r="M42" s="56"/>
      <c r="N42" s="55">
        <v>500</v>
      </c>
      <c r="O42" s="55">
        <v>319200</v>
      </c>
      <c r="P42" s="55">
        <f t="shared" si="4"/>
        <v>3830400</v>
      </c>
      <c r="Q42" s="55">
        <f t="shared" si="25"/>
        <v>190804800</v>
      </c>
      <c r="R42" s="56"/>
      <c r="S42" s="55">
        <v>500</v>
      </c>
      <c r="T42" s="55">
        <v>319200</v>
      </c>
      <c r="U42" s="55">
        <f t="shared" si="6"/>
        <v>3830400</v>
      </c>
      <c r="V42" s="55">
        <f t="shared" si="26"/>
        <v>206056800</v>
      </c>
    </row>
    <row r="43" spans="2:22" x14ac:dyDescent="0.3">
      <c r="C43" s="46">
        <v>37</v>
      </c>
      <c r="D43" s="46">
        <v>73</v>
      </c>
      <c r="E43" s="46">
        <v>2063</v>
      </c>
      <c r="F43" s="55">
        <f t="shared" si="0"/>
        <v>0</v>
      </c>
      <c r="G43" s="55">
        <f t="shared" si="1"/>
        <v>0</v>
      </c>
      <c r="H43" s="56"/>
      <c r="I43" s="55">
        <v>1000</v>
      </c>
      <c r="J43" s="55">
        <v>608000</v>
      </c>
      <c r="K43" s="55">
        <f t="shared" si="2"/>
        <v>7296000</v>
      </c>
      <c r="L43" s="55">
        <f t="shared" si="24"/>
        <v>220092000</v>
      </c>
      <c r="M43" s="56"/>
      <c r="N43" s="55">
        <v>500</v>
      </c>
      <c r="O43" s="55">
        <v>319200</v>
      </c>
      <c r="P43" s="55">
        <f t="shared" si="4"/>
        <v>3830400</v>
      </c>
      <c r="Q43" s="55">
        <f t="shared" si="25"/>
        <v>194635200</v>
      </c>
      <c r="R43" s="56"/>
      <c r="S43" s="55">
        <v>500</v>
      </c>
      <c r="T43" s="55">
        <v>319200</v>
      </c>
      <c r="U43" s="55">
        <f t="shared" si="6"/>
        <v>3830400</v>
      </c>
      <c r="V43" s="55">
        <f t="shared" si="26"/>
        <v>209887200</v>
      </c>
    </row>
    <row r="44" spans="2:22" x14ac:dyDescent="0.3">
      <c r="C44" s="46">
        <v>38</v>
      </c>
      <c r="D44" s="46">
        <v>74</v>
      </c>
      <c r="E44" s="46">
        <v>2064</v>
      </c>
      <c r="F44" s="55">
        <f t="shared" si="0"/>
        <v>0</v>
      </c>
      <c r="G44" s="55">
        <f t="shared" si="1"/>
        <v>0</v>
      </c>
      <c r="H44" s="56"/>
      <c r="I44" s="55">
        <v>1000</v>
      </c>
      <c r="J44" s="55">
        <v>608000</v>
      </c>
      <c r="K44" s="55">
        <f t="shared" si="2"/>
        <v>7296000</v>
      </c>
      <c r="L44" s="55">
        <f t="shared" si="24"/>
        <v>227388000</v>
      </c>
      <c r="M44" s="56"/>
      <c r="N44" s="55">
        <v>500</v>
      </c>
      <c r="O44" s="55">
        <v>319200</v>
      </c>
      <c r="P44" s="55">
        <f t="shared" si="4"/>
        <v>3830400</v>
      </c>
      <c r="Q44" s="55">
        <f t="shared" si="25"/>
        <v>198465600</v>
      </c>
      <c r="R44" s="56"/>
      <c r="S44" s="55">
        <v>500</v>
      </c>
      <c r="T44" s="55">
        <v>319200</v>
      </c>
      <c r="U44" s="55">
        <f t="shared" si="6"/>
        <v>3830400</v>
      </c>
      <c r="V44" s="55">
        <f t="shared" si="26"/>
        <v>213717600</v>
      </c>
    </row>
    <row r="45" spans="2:22" x14ac:dyDescent="0.3">
      <c r="C45" s="46">
        <v>39</v>
      </c>
      <c r="D45" s="46">
        <v>75</v>
      </c>
      <c r="E45" s="46">
        <v>2065</v>
      </c>
      <c r="F45" s="55">
        <f t="shared" si="0"/>
        <v>0</v>
      </c>
      <c r="G45" s="55">
        <f t="shared" si="1"/>
        <v>0</v>
      </c>
      <c r="H45" s="56"/>
      <c r="I45" s="55">
        <v>1000</v>
      </c>
      <c r="J45" s="55">
        <v>608000</v>
      </c>
      <c r="K45" s="55">
        <f t="shared" si="2"/>
        <v>7296000</v>
      </c>
      <c r="L45" s="55">
        <f t="shared" si="24"/>
        <v>234684000</v>
      </c>
      <c r="M45" s="56"/>
      <c r="N45" s="55">
        <v>500</v>
      </c>
      <c r="O45" s="55">
        <v>319200</v>
      </c>
      <c r="P45" s="55">
        <f t="shared" si="4"/>
        <v>3830400</v>
      </c>
      <c r="Q45" s="55">
        <f t="shared" si="25"/>
        <v>202296000</v>
      </c>
      <c r="R45" s="56"/>
      <c r="S45" s="55">
        <v>500</v>
      </c>
      <c r="T45" s="55">
        <v>319200</v>
      </c>
      <c r="U45" s="55">
        <f t="shared" si="6"/>
        <v>3830400</v>
      </c>
      <c r="V45" s="55">
        <f t="shared" si="26"/>
        <v>217548000</v>
      </c>
    </row>
    <row r="46" spans="2:22" x14ac:dyDescent="0.3">
      <c r="C46" s="46">
        <v>40</v>
      </c>
      <c r="D46" s="46">
        <v>76</v>
      </c>
      <c r="E46" s="46">
        <v>2066</v>
      </c>
      <c r="F46" s="55">
        <f t="shared" si="0"/>
        <v>0</v>
      </c>
      <c r="G46" s="55">
        <f t="shared" si="1"/>
        <v>0</v>
      </c>
      <c r="H46" s="56"/>
      <c r="I46" s="55">
        <v>1000</v>
      </c>
      <c r="J46" s="55">
        <v>608000</v>
      </c>
      <c r="K46" s="55">
        <f t="shared" si="2"/>
        <v>7296000</v>
      </c>
      <c r="L46" s="55">
        <f t="shared" si="24"/>
        <v>241980000</v>
      </c>
      <c r="M46" s="56"/>
      <c r="N46" s="55">
        <v>500</v>
      </c>
      <c r="O46" s="55">
        <v>319200</v>
      </c>
      <c r="P46" s="55">
        <f t="shared" si="4"/>
        <v>3830400</v>
      </c>
      <c r="Q46" s="55">
        <f t="shared" si="25"/>
        <v>206126400</v>
      </c>
      <c r="R46" s="56"/>
      <c r="S46" s="55">
        <v>500</v>
      </c>
      <c r="T46" s="55">
        <v>319200</v>
      </c>
      <c r="U46" s="55">
        <f t="shared" si="6"/>
        <v>3830400</v>
      </c>
      <c r="V46" s="55">
        <f t="shared" si="26"/>
        <v>221378400</v>
      </c>
    </row>
    <row r="47" spans="2:22" x14ac:dyDescent="0.3">
      <c r="C47" s="35">
        <v>41</v>
      </c>
      <c r="D47" s="35">
        <v>77</v>
      </c>
      <c r="E47" s="35">
        <v>2067</v>
      </c>
      <c r="F47" s="45">
        <f t="shared" si="0"/>
        <v>0</v>
      </c>
      <c r="G47" s="45">
        <f t="shared" si="1"/>
        <v>0</v>
      </c>
      <c r="I47" s="45">
        <v>1000</v>
      </c>
      <c r="J47" s="50">
        <v>608000</v>
      </c>
      <c r="K47" s="50">
        <f t="shared" si="2"/>
        <v>7296000</v>
      </c>
      <c r="L47" s="45">
        <f t="shared" si="24"/>
        <v>249276000</v>
      </c>
      <c r="N47" s="45">
        <v>500</v>
      </c>
      <c r="O47" s="45">
        <v>319200</v>
      </c>
      <c r="P47" s="50">
        <f t="shared" si="4"/>
        <v>3830400</v>
      </c>
      <c r="Q47" s="45">
        <f t="shared" si="25"/>
        <v>209956800</v>
      </c>
      <c r="S47" s="45">
        <v>500</v>
      </c>
      <c r="T47" s="45">
        <v>319200</v>
      </c>
      <c r="U47" s="50">
        <f t="shared" si="6"/>
        <v>3830400</v>
      </c>
      <c r="V47" s="45">
        <f t="shared" si="26"/>
        <v>225208800</v>
      </c>
    </row>
    <row r="48" spans="2:22" x14ac:dyDescent="0.3">
      <c r="C48" s="35">
        <v>42</v>
      </c>
      <c r="D48" s="35">
        <v>78</v>
      </c>
      <c r="E48" s="35">
        <v>2068</v>
      </c>
      <c r="F48" s="45">
        <f t="shared" si="0"/>
        <v>0</v>
      </c>
      <c r="G48" s="45">
        <f t="shared" si="1"/>
        <v>0</v>
      </c>
      <c r="I48" s="45">
        <v>1000</v>
      </c>
      <c r="J48" s="50">
        <v>608000</v>
      </c>
      <c r="K48" s="50">
        <f t="shared" si="2"/>
        <v>7296000</v>
      </c>
      <c r="L48" s="45">
        <f t="shared" si="24"/>
        <v>256572000</v>
      </c>
      <c r="N48" s="45">
        <v>500</v>
      </c>
      <c r="O48" s="45">
        <v>319200</v>
      </c>
      <c r="P48" s="50">
        <f t="shared" si="4"/>
        <v>3830400</v>
      </c>
      <c r="Q48" s="45">
        <f t="shared" si="25"/>
        <v>213787200</v>
      </c>
      <c r="S48" s="45">
        <v>500</v>
      </c>
      <c r="T48" s="45">
        <v>319200</v>
      </c>
      <c r="U48" s="50">
        <f t="shared" si="6"/>
        <v>3830400</v>
      </c>
      <c r="V48" s="45">
        <f t="shared" si="26"/>
        <v>229039200</v>
      </c>
    </row>
    <row r="49" spans="3:22" x14ac:dyDescent="0.3">
      <c r="C49" s="35">
        <v>43</v>
      </c>
      <c r="D49" s="35">
        <v>79</v>
      </c>
      <c r="E49" s="35">
        <v>2069</v>
      </c>
      <c r="F49" s="45">
        <f t="shared" si="0"/>
        <v>0</v>
      </c>
      <c r="G49" s="45">
        <f t="shared" si="1"/>
        <v>0</v>
      </c>
      <c r="I49" s="45">
        <v>1000</v>
      </c>
      <c r="J49" s="50">
        <v>608000</v>
      </c>
      <c r="K49" s="50">
        <f t="shared" si="2"/>
        <v>7296000</v>
      </c>
      <c r="L49" s="45">
        <f t="shared" si="24"/>
        <v>263868000</v>
      </c>
      <c r="N49" s="45">
        <v>500</v>
      </c>
      <c r="O49" s="45">
        <v>319200</v>
      </c>
      <c r="P49" s="50">
        <f t="shared" si="4"/>
        <v>3830400</v>
      </c>
      <c r="Q49" s="45">
        <f t="shared" si="25"/>
        <v>217617600</v>
      </c>
      <c r="S49" s="45">
        <v>500</v>
      </c>
      <c r="T49" s="45">
        <v>319200</v>
      </c>
      <c r="U49" s="50">
        <f t="shared" si="6"/>
        <v>3830400</v>
      </c>
      <c r="V49" s="45">
        <f t="shared" si="26"/>
        <v>232869600</v>
      </c>
    </row>
    <row r="50" spans="3:22" x14ac:dyDescent="0.3">
      <c r="C50" s="35">
        <v>44</v>
      </c>
      <c r="D50" s="35">
        <v>80</v>
      </c>
      <c r="E50" s="35">
        <v>2070</v>
      </c>
      <c r="F50" s="45">
        <f t="shared" si="0"/>
        <v>0</v>
      </c>
      <c r="G50" s="45">
        <f t="shared" si="1"/>
        <v>0</v>
      </c>
      <c r="I50" s="45">
        <v>1000</v>
      </c>
      <c r="J50" s="50">
        <v>608000</v>
      </c>
      <c r="K50" s="50">
        <f t="shared" si="2"/>
        <v>7296000</v>
      </c>
      <c r="L50" s="45">
        <f t="shared" si="24"/>
        <v>271164000</v>
      </c>
      <c r="N50" s="45">
        <v>500</v>
      </c>
      <c r="O50" s="45">
        <v>319200</v>
      </c>
      <c r="P50" s="50">
        <f t="shared" si="4"/>
        <v>3830400</v>
      </c>
      <c r="Q50" s="45">
        <f t="shared" si="25"/>
        <v>221448000</v>
      </c>
      <c r="S50" s="45">
        <v>500</v>
      </c>
      <c r="T50" s="45">
        <v>319200</v>
      </c>
      <c r="U50" s="50">
        <f t="shared" si="6"/>
        <v>3830400</v>
      </c>
      <c r="V50" s="45">
        <f t="shared" si="26"/>
        <v>236700000</v>
      </c>
    </row>
    <row r="51" spans="3:22" x14ac:dyDescent="0.3">
      <c r="C51" s="35">
        <v>45</v>
      </c>
      <c r="D51" s="35">
        <v>81</v>
      </c>
      <c r="E51" s="35">
        <v>2071</v>
      </c>
      <c r="F51" s="45">
        <f t="shared" si="0"/>
        <v>0</v>
      </c>
      <c r="G51" s="45">
        <f t="shared" si="1"/>
        <v>0</v>
      </c>
      <c r="I51" s="45">
        <v>1000</v>
      </c>
      <c r="J51" s="50">
        <v>608000</v>
      </c>
      <c r="K51" s="50">
        <f t="shared" si="2"/>
        <v>7296000</v>
      </c>
      <c r="L51" s="45">
        <f t="shared" si="24"/>
        <v>278460000</v>
      </c>
      <c r="N51" s="45">
        <v>500</v>
      </c>
      <c r="O51" s="45">
        <v>319200</v>
      </c>
      <c r="P51" s="50">
        <f t="shared" si="4"/>
        <v>3830400</v>
      </c>
      <c r="Q51" s="45">
        <f t="shared" si="25"/>
        <v>225278400</v>
      </c>
      <c r="S51" s="45">
        <v>500</v>
      </c>
      <c r="T51" s="45">
        <v>319200</v>
      </c>
      <c r="U51" s="50">
        <f t="shared" si="6"/>
        <v>3830400</v>
      </c>
      <c r="V51" s="45">
        <f t="shared" si="26"/>
        <v>240530400</v>
      </c>
    </row>
  </sheetData>
  <mergeCells count="3">
    <mergeCell ref="I5:L5"/>
    <mergeCell ref="N5:Q5"/>
    <mergeCell ref="S5:V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1"/>
  <sheetViews>
    <sheetView workbookViewId="0">
      <pane ySplit="6" topLeftCell="A7" activePane="bottomLeft" state="frozen"/>
      <selection activeCell="H252" sqref="H252"/>
      <selection pane="bottomLeft" activeCell="A3" sqref="A3"/>
    </sheetView>
  </sheetViews>
  <sheetFormatPr defaultRowHeight="13.5" x14ac:dyDescent="0.3"/>
  <cols>
    <col min="1" max="1" width="4.88671875" style="3" bestFit="1" customWidth="1"/>
    <col min="2" max="2" width="11.21875" style="3" bestFit="1" customWidth="1"/>
    <col min="3" max="4" width="3.77734375" style="3" hidden="1" customWidth="1"/>
    <col min="5" max="5" width="2.5546875" style="3" hidden="1" customWidth="1"/>
    <col min="6" max="6" width="3.21875" style="3" bestFit="1" customWidth="1"/>
    <col min="7" max="7" width="3" style="3" customWidth="1"/>
    <col min="8" max="12" width="6" style="3" customWidth="1"/>
    <col min="13" max="13" width="7.109375" style="3" customWidth="1"/>
    <col min="14" max="14" width="8.88671875" style="3"/>
    <col min="15" max="15" width="3" style="3" bestFit="1" customWidth="1"/>
    <col min="16" max="27" width="7.33203125" style="3" customWidth="1"/>
    <col min="28" max="16384" width="8.88671875" style="3"/>
  </cols>
  <sheetData>
    <row r="1" spans="1:29" x14ac:dyDescent="0.3">
      <c r="A1" s="3">
        <v>2026</v>
      </c>
      <c r="B1" s="3" t="s">
        <v>0</v>
      </c>
      <c r="H1" s="31" t="s">
        <v>26</v>
      </c>
      <c r="I1" s="31">
        <v>0</v>
      </c>
      <c r="O1" s="4" t="s">
        <v>13</v>
      </c>
      <c r="P1" s="3">
        <v>1</v>
      </c>
      <c r="Q1" s="3">
        <v>2</v>
      </c>
      <c r="R1" s="3">
        <v>3</v>
      </c>
      <c r="S1" s="3">
        <v>4</v>
      </c>
      <c r="T1" s="3">
        <v>5</v>
      </c>
      <c r="U1" s="3">
        <v>6</v>
      </c>
      <c r="V1" s="3">
        <v>7</v>
      </c>
      <c r="W1" s="3">
        <v>8</v>
      </c>
      <c r="X1" s="3">
        <v>9</v>
      </c>
      <c r="Y1" s="3">
        <v>10</v>
      </c>
      <c r="Z1" s="3">
        <v>11</v>
      </c>
      <c r="AA1" s="3">
        <v>12</v>
      </c>
    </row>
    <row r="2" spans="1:29" x14ac:dyDescent="0.3">
      <c r="B2" s="5">
        <f ca="1">TODAY()</f>
        <v>46168</v>
      </c>
      <c r="O2" s="4" t="str">
        <f>참조!$D$2</f>
        <v>休</v>
      </c>
      <c r="P2" s="3">
        <f>COUNTIFS($B$7:$B$371,"&gt;="&amp;DATE($A$1,P$1,1),$B$7:$B$371,"&lt;"&amp;DATE($A$1,P$1+1,1),$G$7:$G$371,참조!$D$2)</f>
        <v>12</v>
      </c>
      <c r="Q2" s="3">
        <f>COUNTIFS($B$7:$B$371,"&gt;="&amp;DATE($A$1,Q$1,1),$B$7:$B$371,"&lt;"&amp;DATE($A$1,Q$1+1,1),$G$7:$G$371,참조!$D$2)</f>
        <v>10</v>
      </c>
      <c r="R2" s="3">
        <f>COUNTIFS($B$7:$B$371,"&gt;="&amp;DATE($A$1,R$1,1),$B$7:$B$371,"&lt;"&amp;DATE($A$1,R$1+1,1),$G$7:$G$371,참조!$D$2)</f>
        <v>10</v>
      </c>
      <c r="S2" s="3">
        <f>COUNTIFS($B$7:$B$371,"&gt;="&amp;DATE($A$1,S$1,1),$B$7:$B$371,"&lt;"&amp;DATE($A$1,S$1+1,1),$G$7:$G$371,참조!$D$2)</f>
        <v>9</v>
      </c>
      <c r="T2" s="3">
        <f>COUNTIFS($B$7:$B$371,"&gt;="&amp;DATE($A$1,T$1,1),$B$7:$B$371,"&lt;"&amp;DATE($A$1,T$1+1,1),$G$7:$G$371,참조!$D$2)</f>
        <v>13</v>
      </c>
      <c r="U2" s="3">
        <f>COUNTIFS($B$7:$B$371,"&gt;="&amp;DATE($A$1,U$1,1),$B$7:$B$371,"&lt;"&amp;DATE($A$1,U$1+1,1),$G$7:$G$371,참조!$D$2)</f>
        <v>8</v>
      </c>
      <c r="V2" s="3">
        <f>COUNTIFS($B$7:$B$371,"&gt;="&amp;DATE($A$1,V$1,1),$B$7:$B$371,"&lt;"&amp;DATE($A$1,V$1+1,1),$G$7:$G$371,참조!$D$2)</f>
        <v>9</v>
      </c>
      <c r="W2" s="3">
        <f>COUNTIFS($B$7:$B$371,"&gt;="&amp;DATE($A$1,W$1,1),$B$7:$B$371,"&lt;"&amp;DATE($A$1,W$1+1,1),$G$7:$G$371,참조!$D$2)</f>
        <v>11</v>
      </c>
      <c r="X2" s="3">
        <f>COUNTIFS($B$7:$B$371,"&gt;="&amp;DATE($A$1,X$1,1),$B$7:$B$371,"&lt;"&amp;DATE($A$1,X$1+1,1),$G$7:$G$371,참조!$D$2)</f>
        <v>11</v>
      </c>
      <c r="Y2" s="3">
        <f>COUNTIFS($B$7:$B$371,"&gt;="&amp;DATE($A$1,Y$1,1),$B$7:$B$371,"&lt;"&amp;DATE($A$1,Y$1+1,1),$G$7:$G$371,참조!$D$2)</f>
        <v>10</v>
      </c>
      <c r="Z2" s="3">
        <f>COUNTIFS($B$7:$B$371,"&gt;="&amp;DATE($A$1,Z$1,1),$B$7:$B$371,"&lt;"&amp;DATE($A$1,Z$1+1,1),$G$7:$G$371,참조!$D$2)</f>
        <v>11</v>
      </c>
      <c r="AA2" s="3">
        <f>COUNTIFS($B$7:$B$371,"&gt;="&amp;DATE($A$1,AA$1,1),$B$7:$B$371,"&lt;"&amp;DATE($A$1,AA$1+1,1),$G$7:$G$371,참조!$D$2)</f>
        <v>12</v>
      </c>
    </row>
    <row r="3" spans="1:29" x14ac:dyDescent="0.3">
      <c r="B3" s="5"/>
      <c r="O3" s="4" t="str">
        <f>참조!$D$3</f>
        <v>勤</v>
      </c>
      <c r="P3" s="3">
        <f>COUNTIFS($B$7:$B$371,"&gt;="&amp;DATE($A$1,P$1,1),$B$7:$B$371,"&lt;"&amp;DATE($A$1,P$1+1,1),$G$7:$G$371,참조!$D$3)</f>
        <v>19</v>
      </c>
      <c r="Q3" s="3">
        <f>COUNTIFS($B$7:$B$371,"&gt;="&amp;DATE($A$1,Q$1,1),$B$7:$B$371,"&lt;"&amp;DATE($A$1,Q$1+1,1),$G$7:$G$371,참조!$D$3)</f>
        <v>18</v>
      </c>
      <c r="R3" s="3">
        <f>COUNTIFS($B$7:$B$371,"&gt;="&amp;DATE($A$1,R$1,1),$B$7:$B$371,"&lt;"&amp;DATE($A$1,R$1+1,1),$G$7:$G$371,참조!$D$3)</f>
        <v>21</v>
      </c>
      <c r="S3" s="3">
        <f>COUNTIFS($B$7:$B$371,"&gt;="&amp;DATE($A$1,S$1,1),$B$7:$B$371,"&lt;"&amp;DATE($A$1,S$1+1,1),$G$7:$G$371,참조!$D$3)</f>
        <v>21</v>
      </c>
      <c r="T3" s="3">
        <f>COUNTIFS($B$7:$B$371,"&gt;="&amp;DATE($A$1,T$1,1),$B$7:$B$371,"&lt;"&amp;DATE($A$1,T$1+1,1),$G$7:$G$371,참조!$D$3)</f>
        <v>18</v>
      </c>
      <c r="U3" s="3">
        <f>COUNTIFS($B$7:$B$371,"&gt;="&amp;DATE($A$1,U$1,1),$B$7:$B$371,"&lt;"&amp;DATE($A$1,U$1+1,1),$G$7:$G$371,참조!$D$3)</f>
        <v>22</v>
      </c>
      <c r="V3" s="3">
        <f>COUNTIFS($B$7:$B$371,"&gt;="&amp;DATE($A$1,V$1,1),$B$7:$B$371,"&lt;"&amp;DATE($A$1,V$1+1,1),$G$7:$G$371,참조!$D$3)</f>
        <v>22</v>
      </c>
      <c r="W3" s="3">
        <f>COUNTIFS($B$7:$B$371,"&gt;="&amp;DATE($A$1,W$1,1),$B$7:$B$371,"&lt;"&amp;DATE($A$1,W$1+1,1),$G$7:$G$371,참조!$D$3)</f>
        <v>20</v>
      </c>
      <c r="X3" s="3">
        <f>COUNTIFS($B$7:$B$371,"&gt;="&amp;DATE($A$1,X$1,1),$B$7:$B$371,"&lt;"&amp;DATE($A$1,X$1+1,1),$G$7:$G$371,참조!$D$3)</f>
        <v>19</v>
      </c>
      <c r="Y3" s="3">
        <f>COUNTIFS($B$7:$B$371,"&gt;="&amp;DATE($A$1,Y$1,1),$B$7:$B$371,"&lt;"&amp;DATE($A$1,Y$1+1,1),$G$7:$G$371,참조!$D$3)</f>
        <v>21</v>
      </c>
      <c r="Z3" s="3">
        <f>COUNTIFS($B$7:$B$371,"&gt;="&amp;DATE($A$1,Z$1,1),$B$7:$B$371,"&lt;"&amp;DATE($A$1,Z$1+1,1),$G$7:$G$371,참조!$D$3)</f>
        <v>19</v>
      </c>
      <c r="AA3" s="3">
        <f>COUNTIFS($B$7:$B$371,"&gt;="&amp;DATE($A$1,AA$1,1),$B$7:$B$371,"&lt;"&amp;DATE($A$1,AA$1+1,1),$G$7:$G$371,참조!$D$3)</f>
        <v>19</v>
      </c>
    </row>
    <row r="4" spans="1:29" x14ac:dyDescent="0.3">
      <c r="B4" s="5"/>
      <c r="O4" s="33" t="s">
        <v>27</v>
      </c>
      <c r="P4" s="30">
        <f t="shared" ref="P4:AA4" ca="1" si="0">SUMIFS($L$7:$L$371,$B$7:$B$371,"&gt;="&amp;DATE($A$1,P$1,1),$B$7:$B$371,"&lt;"&amp;DATE($A$1,P$1+1,1))</f>
        <v>0</v>
      </c>
      <c r="Q4" s="30">
        <f t="shared" ca="1" si="0"/>
        <v>0</v>
      </c>
      <c r="R4" s="30">
        <f t="shared" ca="1" si="0"/>
        <v>0</v>
      </c>
      <c r="S4" s="30">
        <f ca="1">SUMIFS($L$7:$L$371,$B$7:$B$371,"&gt;="&amp;DATE($A$1,S$1,1),$B$7:$B$371,"&lt;"&amp;DATE($A$1,S$1+1,1))</f>
        <v>0</v>
      </c>
      <c r="T4" s="30">
        <f t="shared" ca="1" si="0"/>
        <v>13000</v>
      </c>
      <c r="U4" s="30">
        <f t="shared" ca="1" si="0"/>
        <v>62000</v>
      </c>
      <c r="V4" s="30">
        <f t="shared" ca="1" si="0"/>
        <v>67000</v>
      </c>
      <c r="W4" s="30">
        <f t="shared" ca="1" si="0"/>
        <v>75000</v>
      </c>
      <c r="X4" s="30">
        <f t="shared" ca="1" si="0"/>
        <v>74000</v>
      </c>
      <c r="Y4" s="30">
        <f t="shared" ca="1" si="0"/>
        <v>71000</v>
      </c>
      <c r="Z4" s="30">
        <f t="shared" ca="1" si="0"/>
        <v>74000</v>
      </c>
      <c r="AA4" s="30">
        <f t="shared" ca="1" si="0"/>
        <v>79000</v>
      </c>
      <c r="AB4" s="30">
        <f ca="1">SUM(P4:Z4)</f>
        <v>436000</v>
      </c>
    </row>
    <row r="5" spans="1:29" x14ac:dyDescent="0.3">
      <c r="B5" s="2"/>
      <c r="O5" s="33" t="s">
        <v>28</v>
      </c>
      <c r="P5" s="34">
        <f ca="1">$I$1-P$4</f>
        <v>0</v>
      </c>
      <c r="Q5" s="34">
        <f t="shared" ref="Q5:AA5" ca="1" si="1">$I$1-Q$4</f>
        <v>0</v>
      </c>
      <c r="R5" s="34">
        <f t="shared" ca="1" si="1"/>
        <v>0</v>
      </c>
      <c r="S5" s="34">
        <f ca="1">$I$1-S$4</f>
        <v>0</v>
      </c>
      <c r="T5" s="34">
        <f t="shared" ca="1" si="1"/>
        <v>-13000</v>
      </c>
      <c r="U5" s="34">
        <f t="shared" ca="1" si="1"/>
        <v>-62000</v>
      </c>
      <c r="V5" s="34">
        <f t="shared" ca="1" si="1"/>
        <v>-67000</v>
      </c>
      <c r="W5" s="34">
        <f t="shared" ca="1" si="1"/>
        <v>-75000</v>
      </c>
      <c r="X5" s="34">
        <f t="shared" ca="1" si="1"/>
        <v>-74000</v>
      </c>
      <c r="Y5" s="34">
        <f t="shared" ca="1" si="1"/>
        <v>-71000</v>
      </c>
      <c r="Z5" s="34">
        <f t="shared" ca="1" si="1"/>
        <v>-74000</v>
      </c>
      <c r="AA5" s="34">
        <f t="shared" ca="1" si="1"/>
        <v>-79000</v>
      </c>
      <c r="AB5" s="34">
        <f ca="1">SUM(P5:AA5)</f>
        <v>-515000</v>
      </c>
      <c r="AC5" s="30"/>
    </row>
    <row r="6" spans="1:29" x14ac:dyDescent="0.3">
      <c r="B6" s="3" t="s">
        <v>43</v>
      </c>
      <c r="C6" s="3" t="s">
        <v>41</v>
      </c>
      <c r="D6" s="3" t="s">
        <v>42</v>
      </c>
      <c r="E6" s="3" t="s">
        <v>45</v>
      </c>
      <c r="F6" s="3" t="s">
        <v>44</v>
      </c>
      <c r="H6" s="32" t="s">
        <v>11</v>
      </c>
      <c r="I6" s="31" t="s">
        <v>12</v>
      </c>
      <c r="J6" s="31" t="s">
        <v>29</v>
      </c>
      <c r="K6" s="37" t="s">
        <v>30</v>
      </c>
      <c r="L6" s="31" t="s">
        <v>31</v>
      </c>
      <c r="M6" s="31" t="s">
        <v>32</v>
      </c>
      <c r="N6" s="3" t="s">
        <v>33</v>
      </c>
    </row>
    <row r="7" spans="1:29" x14ac:dyDescent="0.3">
      <c r="B7" s="5">
        <f>DATE($A$1,C7,D7)</f>
        <v>46023</v>
      </c>
      <c r="C7" s="3">
        <v>1</v>
      </c>
      <c r="D7" s="3">
        <v>1</v>
      </c>
      <c r="E7" s="3">
        <f t="shared" ref="E7:E70" si="2">WEEKDAY(B7)</f>
        <v>5</v>
      </c>
      <c r="F7" s="4" t="str">
        <f>IF($E7=참조!$B$2,참조!$C$2,IF($E7=참조!$B$3,참조!$C$3,IF($E7=참조!$B$4,참조!$C$4,IF($E7=참조!$B$5,참조!$C$5,IF($E7=참조!$B$6,참조!$C$6,IF($E7=참조!$B$7,참조!$C$7,IF($E7=참조!$B$8,참조!$C$8,"")))))))</f>
        <v>木</v>
      </c>
      <c r="G7" s="4" t="str">
        <f>IF($F7=참조!$C$2,참조!$D$2,IF($F7=참조!$C$8,참조!$D$2,IF(COUNTIF('2026년휴일'!$B:$B,$B7)&gt;0,참조!$D$2,참조!$D$3)))</f>
        <v>休</v>
      </c>
      <c r="H7" s="31">
        <f>IF($G7=참조!$D$3,참조!$E$3,참조!$E$2)</f>
        <v>5000</v>
      </c>
      <c r="I7" s="31">
        <f>SUMIFS(지출기록_1월!$H$3:$H$312,지출기록_1월!$E$3:$E$312,B7,지출기록_1월!$F$3:$F$312,참조!$F$2)</f>
        <v>0</v>
      </c>
      <c r="J7" s="31">
        <f>SUMIFS(지출기록_1월!$H$3:$H$312,지출기록_1월!$E$3:$E$312,B7,지출기록_1월!$F$3:$F$312,참조!$F$3)</f>
        <v>0</v>
      </c>
      <c r="K7" s="31">
        <f>I7-J7</f>
        <v>0</v>
      </c>
      <c r="L7" s="31">
        <f ca="1">IF(B7&gt;$B$2,H7,K7)</f>
        <v>0</v>
      </c>
      <c r="M7" s="31">
        <f>$H7-$K7</f>
        <v>5000</v>
      </c>
    </row>
    <row r="8" spans="1:29" x14ac:dyDescent="0.3">
      <c r="B8" s="5">
        <f t="shared" ref="B8:B71" si="3">DATE($A$1,C8,D8)</f>
        <v>46024</v>
      </c>
      <c r="C8" s="3">
        <v>1</v>
      </c>
      <c r="D8" s="3">
        <v>2</v>
      </c>
      <c r="E8" s="3">
        <f t="shared" si="2"/>
        <v>6</v>
      </c>
      <c r="F8" s="4" t="str">
        <f>IF($E8=참조!$B$2,참조!$C$2,IF($E8=참조!$B$3,참조!$C$3,IF($E8=참조!$B$4,참조!$C$4,IF($E8=참조!$B$5,참조!$C$5,IF($E8=참조!$B$6,참조!$C$6,IF($E8=참조!$B$7,참조!$C$7,IF($E8=참조!$B$8,참조!$C$8,"")))))))</f>
        <v>金</v>
      </c>
      <c r="G8" s="4" t="str">
        <f>IF($F8=참조!$C$2,참조!$D$2,IF($F8=참조!$C$8,참조!$D$2,IF(COUNTIF('2026년휴일'!$B:$B,$B8)&gt;0,참조!$D$2,참조!$D$3)))</f>
        <v>休</v>
      </c>
      <c r="H8" s="31">
        <f>IF($G8=참조!$D$3,참조!$E$3,참조!$E$2)</f>
        <v>5000</v>
      </c>
      <c r="I8" s="31">
        <f>SUMIFS(지출기록_1월!$H$3:$H$312,지출기록_1월!$E$3:$E$312,B8,지출기록_1월!$F$3:$F$312,참조!$F$2)</f>
        <v>0</v>
      </c>
      <c r="J8" s="31">
        <f>SUMIFS(지출기록_1월!$H$3:$H$312,지출기록_1월!$E$3:$E$312,B8,지출기록_1월!$F$3:$F$312,참조!$F$3)</f>
        <v>0</v>
      </c>
      <c r="K8" s="31">
        <f t="shared" ref="K8:K25" si="4">I8-J8</f>
        <v>0</v>
      </c>
      <c r="L8" s="31">
        <f t="shared" ref="L8:L71" ca="1" si="5">IF(B8&gt;$B$2,H8,K8)</f>
        <v>0</v>
      </c>
      <c r="M8" s="31">
        <f t="shared" ref="M8:M71" si="6">$H8-$K8</f>
        <v>5000</v>
      </c>
    </row>
    <row r="9" spans="1:29" x14ac:dyDescent="0.3">
      <c r="B9" s="5">
        <f>DATE($A$1,C9,D9)</f>
        <v>46025</v>
      </c>
      <c r="C9" s="3">
        <v>1</v>
      </c>
      <c r="D9" s="3">
        <v>3</v>
      </c>
      <c r="E9" s="3">
        <f t="shared" si="2"/>
        <v>7</v>
      </c>
      <c r="F9" s="4" t="str">
        <f>IF($E9=참조!$B$2,참조!$C$2,IF($E9=참조!$B$3,참조!$C$3,IF($E9=참조!$B$4,참조!$C$4,IF($E9=참조!$B$5,참조!$C$5,IF($E9=참조!$B$6,참조!$C$6,IF($E9=참조!$B$7,참조!$C$7,IF($E9=참조!$B$8,참조!$C$8,"")))))))</f>
        <v>土</v>
      </c>
      <c r="G9" s="4" t="str">
        <f>IF($F9=참조!$C$2,참조!$D$2,IF($F9=참조!$C$8,참조!$D$2,IF(COUNTIF('2026년휴일'!$B:$B,$B9)&gt;0,참조!$D$2,참조!$D$3)))</f>
        <v>休</v>
      </c>
      <c r="H9" s="31">
        <f>IF($G9=참조!$D$3,참조!$E$3,참조!$E$2)</f>
        <v>5000</v>
      </c>
      <c r="I9" s="31">
        <f>SUMIFS(지출기록_1월!$H$3:$H$312,지출기록_1월!$E$3:$E$312,B9,지출기록_1월!$F$3:$F$312,참조!$F$2)</f>
        <v>0</v>
      </c>
      <c r="J9" s="31">
        <f>SUMIFS(지출기록_1월!$H$3:$H$312,지출기록_1월!$E$3:$E$312,B9,지출기록_1월!$F$3:$F$312,참조!$F$3)</f>
        <v>0</v>
      </c>
      <c r="K9" s="31">
        <f t="shared" si="4"/>
        <v>0</v>
      </c>
      <c r="L9" s="31">
        <f t="shared" ca="1" si="5"/>
        <v>0</v>
      </c>
      <c r="M9" s="31">
        <f t="shared" si="6"/>
        <v>5000</v>
      </c>
    </row>
    <row r="10" spans="1:29" x14ac:dyDescent="0.3">
      <c r="B10" s="5">
        <f t="shared" si="3"/>
        <v>46026</v>
      </c>
      <c r="C10" s="3">
        <v>1</v>
      </c>
      <c r="D10" s="3">
        <v>4</v>
      </c>
      <c r="E10" s="3">
        <f t="shared" si="2"/>
        <v>1</v>
      </c>
      <c r="F10" s="4" t="str">
        <f>IF($E10=참조!$B$2,참조!$C$2,IF($E10=참조!$B$3,참조!$C$3,IF($E10=참조!$B$4,참조!$C$4,IF($E10=참조!$B$5,참조!$C$5,IF($E10=참조!$B$6,참조!$C$6,IF($E10=참조!$B$7,참조!$C$7,IF($E10=참조!$B$8,참조!$C$8,"")))))))</f>
        <v>日</v>
      </c>
      <c r="G10" s="4" t="str">
        <f>IF($F10=참조!$C$2,참조!$D$2,IF($F10=참조!$C$8,참조!$D$2,IF(COUNTIF('2026년휴일'!$B:$B,$B10)&gt;0,참조!$D$2,참조!$D$3)))</f>
        <v>休</v>
      </c>
      <c r="H10" s="31">
        <f>IF($G10=참조!$D$3,참조!$E$3,참조!$E$2)</f>
        <v>5000</v>
      </c>
      <c r="I10" s="31">
        <f>SUMIFS(지출기록_1월!$H$3:$H$312,지출기록_1월!$E$3:$E$312,B10,지출기록_1월!$F$3:$F$312,참조!$F$2)</f>
        <v>0</v>
      </c>
      <c r="J10" s="31">
        <f>SUMIFS(지출기록_1월!$H$3:$H$312,지출기록_1월!$E$3:$E$312,B10,지출기록_1월!$F$3:$F$312,참조!$F$3)</f>
        <v>0</v>
      </c>
      <c r="K10" s="31">
        <f t="shared" si="4"/>
        <v>0</v>
      </c>
      <c r="L10" s="31">
        <f t="shared" ca="1" si="5"/>
        <v>0</v>
      </c>
      <c r="M10" s="31">
        <f t="shared" si="6"/>
        <v>5000</v>
      </c>
    </row>
    <row r="11" spans="1:29" x14ac:dyDescent="0.3">
      <c r="B11" s="5">
        <f t="shared" si="3"/>
        <v>46027</v>
      </c>
      <c r="C11" s="3">
        <v>1</v>
      </c>
      <c r="D11" s="3">
        <v>5</v>
      </c>
      <c r="E11" s="3">
        <f t="shared" si="2"/>
        <v>2</v>
      </c>
      <c r="F11" s="4" t="str">
        <f>IF($E11=참조!$B$2,참조!$C$2,IF($E11=참조!$B$3,참조!$C$3,IF($E11=참조!$B$4,참조!$C$4,IF($E11=참조!$B$5,참조!$C$5,IF($E11=참조!$B$6,참조!$C$6,IF($E11=참조!$B$7,참조!$C$7,IF($E11=참조!$B$8,참조!$C$8,"")))))))</f>
        <v>月</v>
      </c>
      <c r="G11" s="4" t="str">
        <f>IF($F11=참조!$C$2,참조!$D$2,IF($F11=참조!$C$8,참조!$D$2,IF(COUNTIF('2026년휴일'!$B:$B,$B11)&gt;0,참조!$D$2,참조!$D$3)))</f>
        <v>勤</v>
      </c>
      <c r="H11" s="31">
        <f>IF($G11=참조!$D$3,참조!$E$3,참조!$E$2)</f>
        <v>1000</v>
      </c>
      <c r="I11" s="31">
        <f>SUMIFS(지출기록_1월!$H$3:$H$312,지출기록_1월!$E$3:$E$312,B11,지출기록_1월!$F$3:$F$312,참조!$F$2)</f>
        <v>0</v>
      </c>
      <c r="J11" s="31">
        <f>SUMIFS(지출기록_1월!$H$3:$H$312,지출기록_1월!$E$3:$E$312,B11,지출기록_1월!$F$3:$F$312,참조!$F$3)</f>
        <v>0</v>
      </c>
      <c r="K11" s="31">
        <f t="shared" si="4"/>
        <v>0</v>
      </c>
      <c r="L11" s="31">
        <f t="shared" ca="1" si="5"/>
        <v>0</v>
      </c>
      <c r="M11" s="31">
        <f t="shared" si="6"/>
        <v>1000</v>
      </c>
    </row>
    <row r="12" spans="1:29" x14ac:dyDescent="0.3">
      <c r="B12" s="5">
        <f t="shared" si="3"/>
        <v>46028</v>
      </c>
      <c r="C12" s="3">
        <v>1</v>
      </c>
      <c r="D12" s="3">
        <v>6</v>
      </c>
      <c r="E12" s="3">
        <f t="shared" si="2"/>
        <v>3</v>
      </c>
      <c r="F12" s="4" t="str">
        <f>IF($E12=참조!$B$2,참조!$C$2,IF($E12=참조!$B$3,참조!$C$3,IF($E12=참조!$B$4,참조!$C$4,IF($E12=참조!$B$5,참조!$C$5,IF($E12=참조!$B$6,참조!$C$6,IF($E12=참조!$B$7,참조!$C$7,IF($E12=참조!$B$8,참조!$C$8,"")))))))</f>
        <v>火</v>
      </c>
      <c r="G12" s="4" t="str">
        <f>IF($F12=참조!$C$2,참조!$D$2,IF($F12=참조!$C$8,참조!$D$2,IF(COUNTIF('2026년휴일'!$B:$B,$B12)&gt;0,참조!$D$2,참조!$D$3)))</f>
        <v>勤</v>
      </c>
      <c r="H12" s="31">
        <f>IF($G12=참조!$D$3,참조!$E$3,참조!$E$2)</f>
        <v>1000</v>
      </c>
      <c r="I12" s="31">
        <f>SUMIFS(지출기록_1월!$H$3:$H$312,지출기록_1월!$E$3:$E$312,B12,지출기록_1월!$F$3:$F$312,참조!$F$2)</f>
        <v>0</v>
      </c>
      <c r="J12" s="31">
        <f>SUMIFS(지출기록_1월!$H$3:$H$312,지출기록_1월!$E$3:$E$312,B12,지출기록_1월!$F$3:$F$312,참조!$F$3)</f>
        <v>0</v>
      </c>
      <c r="K12" s="31">
        <f t="shared" si="4"/>
        <v>0</v>
      </c>
      <c r="L12" s="31">
        <f t="shared" ca="1" si="5"/>
        <v>0</v>
      </c>
      <c r="M12" s="31">
        <f t="shared" si="6"/>
        <v>1000</v>
      </c>
    </row>
    <row r="13" spans="1:29" x14ac:dyDescent="0.3">
      <c r="B13" s="5">
        <f t="shared" si="3"/>
        <v>46029</v>
      </c>
      <c r="C13" s="3">
        <v>1</v>
      </c>
      <c r="D13" s="3">
        <v>7</v>
      </c>
      <c r="E13" s="3">
        <f t="shared" si="2"/>
        <v>4</v>
      </c>
      <c r="F13" s="4" t="str">
        <f>IF($E13=참조!$B$2,참조!$C$2,IF($E13=참조!$B$3,참조!$C$3,IF($E13=참조!$B$4,참조!$C$4,IF($E13=참조!$B$5,참조!$C$5,IF($E13=참조!$B$6,참조!$C$6,IF($E13=참조!$B$7,참조!$C$7,IF($E13=참조!$B$8,참조!$C$8,"")))))))</f>
        <v>水</v>
      </c>
      <c r="G13" s="4" t="str">
        <f>IF($F13=참조!$C$2,참조!$D$2,IF($F13=참조!$C$8,참조!$D$2,IF(COUNTIF('2026년휴일'!$B:$B,$B13)&gt;0,참조!$D$2,참조!$D$3)))</f>
        <v>勤</v>
      </c>
      <c r="H13" s="31">
        <f>IF($G13=참조!$D$3,참조!$E$3,참조!$E$2)</f>
        <v>1000</v>
      </c>
      <c r="I13" s="31">
        <f>SUMIFS(지출기록_1월!$H$3:$H$312,지출기록_1월!$E$3:$E$312,B13,지출기록_1월!$F$3:$F$312,참조!$F$2)</f>
        <v>0</v>
      </c>
      <c r="J13" s="31">
        <f>SUMIFS(지출기록_1월!$H$3:$H$312,지출기록_1월!$E$3:$E$312,B13,지출기록_1월!$F$3:$F$312,참조!$F$3)</f>
        <v>0</v>
      </c>
      <c r="K13" s="31">
        <f t="shared" si="4"/>
        <v>0</v>
      </c>
      <c r="L13" s="31">
        <f t="shared" ca="1" si="5"/>
        <v>0</v>
      </c>
      <c r="M13" s="31">
        <f t="shared" si="6"/>
        <v>1000</v>
      </c>
    </row>
    <row r="14" spans="1:29" x14ac:dyDescent="0.3">
      <c r="B14" s="5">
        <f t="shared" si="3"/>
        <v>46030</v>
      </c>
      <c r="C14" s="3">
        <v>1</v>
      </c>
      <c r="D14" s="3">
        <v>8</v>
      </c>
      <c r="E14" s="3">
        <f t="shared" si="2"/>
        <v>5</v>
      </c>
      <c r="F14" s="4" t="str">
        <f>IF($E14=참조!$B$2,참조!$C$2,IF($E14=참조!$B$3,참조!$C$3,IF($E14=참조!$B$4,참조!$C$4,IF($E14=참조!$B$5,참조!$C$5,IF($E14=참조!$B$6,참조!$C$6,IF($E14=참조!$B$7,참조!$C$7,IF($E14=참조!$B$8,참조!$C$8,"")))))))</f>
        <v>木</v>
      </c>
      <c r="G14" s="4" t="str">
        <f>IF($F14=참조!$C$2,참조!$D$2,IF($F14=참조!$C$8,참조!$D$2,IF(COUNTIF('2026년휴일'!$B:$B,$B14)&gt;0,참조!$D$2,참조!$D$3)))</f>
        <v>勤</v>
      </c>
      <c r="H14" s="31">
        <f>IF($G14=참조!$D$3,참조!$E$3,참조!$E$2)</f>
        <v>1000</v>
      </c>
      <c r="I14" s="31">
        <f>SUMIFS(지출기록_1월!$H$3:$H$312,지출기록_1월!$E$3:$E$312,B14,지출기록_1월!$F$3:$F$312,참조!$F$2)</f>
        <v>0</v>
      </c>
      <c r="J14" s="31">
        <f>SUMIFS(지출기록_1월!$H$3:$H$312,지출기록_1월!$E$3:$E$312,B14,지출기록_1월!$F$3:$F$312,참조!$F$3)</f>
        <v>0</v>
      </c>
      <c r="K14" s="31">
        <f t="shared" si="4"/>
        <v>0</v>
      </c>
      <c r="L14" s="31">
        <f t="shared" ca="1" si="5"/>
        <v>0</v>
      </c>
      <c r="M14" s="31">
        <f t="shared" si="6"/>
        <v>1000</v>
      </c>
    </row>
    <row r="15" spans="1:29" x14ac:dyDescent="0.3">
      <c r="B15" s="5">
        <f t="shared" si="3"/>
        <v>46031</v>
      </c>
      <c r="C15" s="3">
        <v>1</v>
      </c>
      <c r="D15" s="3">
        <v>9</v>
      </c>
      <c r="E15" s="3">
        <f t="shared" si="2"/>
        <v>6</v>
      </c>
      <c r="F15" s="4" t="str">
        <f>IF($E15=참조!$B$2,참조!$C$2,IF($E15=참조!$B$3,참조!$C$3,IF($E15=참조!$B$4,참조!$C$4,IF($E15=참조!$B$5,참조!$C$5,IF($E15=참조!$B$6,참조!$C$6,IF($E15=참조!$B$7,참조!$C$7,IF($E15=참조!$B$8,참조!$C$8,"")))))))</f>
        <v>金</v>
      </c>
      <c r="G15" s="4" t="str">
        <f>IF($F15=참조!$C$2,참조!$D$2,IF($F15=참조!$C$8,참조!$D$2,IF(COUNTIF('2026년휴일'!$B:$B,$B15)&gt;0,참조!$D$2,참조!$D$3)))</f>
        <v>勤</v>
      </c>
      <c r="H15" s="31">
        <f>IF($G15=참조!$D$3,참조!$E$3,참조!$E$2)</f>
        <v>1000</v>
      </c>
      <c r="I15" s="31">
        <f>SUMIFS(지출기록_1월!$H$3:$H$312,지출기록_1월!$E$3:$E$312,B15,지출기록_1월!$F$3:$F$312,참조!$F$2)</f>
        <v>0</v>
      </c>
      <c r="J15" s="31">
        <f>SUMIFS(지출기록_1월!$H$3:$H$312,지출기록_1월!$E$3:$E$312,B15,지출기록_1월!$F$3:$F$312,참조!$F$3)</f>
        <v>0</v>
      </c>
      <c r="K15" s="31">
        <f t="shared" si="4"/>
        <v>0</v>
      </c>
      <c r="L15" s="31">
        <f t="shared" ca="1" si="5"/>
        <v>0</v>
      </c>
      <c r="M15" s="31">
        <f t="shared" si="6"/>
        <v>1000</v>
      </c>
    </row>
    <row r="16" spans="1:29" x14ac:dyDescent="0.3">
      <c r="B16" s="5">
        <f t="shared" si="3"/>
        <v>46032</v>
      </c>
      <c r="C16" s="3">
        <v>1</v>
      </c>
      <c r="D16" s="3">
        <v>10</v>
      </c>
      <c r="E16" s="3">
        <f t="shared" si="2"/>
        <v>7</v>
      </c>
      <c r="F16" s="4" t="str">
        <f>IF($E16=참조!$B$2,참조!$C$2,IF($E16=참조!$B$3,참조!$C$3,IF($E16=참조!$B$4,참조!$C$4,IF($E16=참조!$B$5,참조!$C$5,IF($E16=참조!$B$6,참조!$C$6,IF($E16=참조!$B$7,참조!$C$7,IF($E16=참조!$B$8,참조!$C$8,"")))))))</f>
        <v>土</v>
      </c>
      <c r="G16" s="4" t="str">
        <f>IF($F16=참조!$C$2,참조!$D$2,IF($F16=참조!$C$8,참조!$D$2,IF(COUNTIF('2026년휴일'!$B:$B,$B16)&gt;0,참조!$D$2,참조!$D$3)))</f>
        <v>休</v>
      </c>
      <c r="H16" s="31">
        <f>IF($G16=참조!$D$3,참조!$E$3,참조!$E$2)</f>
        <v>5000</v>
      </c>
      <c r="I16" s="31">
        <f>SUMIFS(지출기록_1월!$H$3:$H$312,지출기록_1월!$E$3:$E$312,B16,지출기록_1월!$F$3:$F$312,참조!$F$2)</f>
        <v>0</v>
      </c>
      <c r="J16" s="31">
        <f>SUMIFS(지출기록_1월!$H$3:$H$312,지출기록_1월!$E$3:$E$312,B16,지출기록_1월!$F$3:$F$312,참조!$F$3)</f>
        <v>0</v>
      </c>
      <c r="K16" s="31">
        <f t="shared" si="4"/>
        <v>0</v>
      </c>
      <c r="L16" s="31">
        <f t="shared" ca="1" si="5"/>
        <v>0</v>
      </c>
      <c r="M16" s="31">
        <f t="shared" si="6"/>
        <v>5000</v>
      </c>
    </row>
    <row r="17" spans="2:13" x14ac:dyDescent="0.3">
      <c r="B17" s="5">
        <f t="shared" si="3"/>
        <v>46033</v>
      </c>
      <c r="C17" s="3">
        <v>1</v>
      </c>
      <c r="D17" s="3">
        <v>11</v>
      </c>
      <c r="E17" s="3">
        <f t="shared" si="2"/>
        <v>1</v>
      </c>
      <c r="F17" s="4" t="str">
        <f>IF($E17=참조!$B$2,참조!$C$2,IF($E17=참조!$B$3,참조!$C$3,IF($E17=참조!$B$4,참조!$C$4,IF($E17=참조!$B$5,참조!$C$5,IF($E17=참조!$B$6,참조!$C$6,IF($E17=참조!$B$7,참조!$C$7,IF($E17=참조!$B$8,참조!$C$8,"")))))))</f>
        <v>日</v>
      </c>
      <c r="G17" s="4" t="str">
        <f>IF($F17=참조!$C$2,참조!$D$2,IF($F17=참조!$C$8,참조!$D$2,IF(COUNTIF('2026년휴일'!$B:$B,$B17)&gt;0,참조!$D$2,참조!$D$3)))</f>
        <v>休</v>
      </c>
      <c r="H17" s="31">
        <f>IF($G17=참조!$D$3,참조!$E$3,참조!$E$2)</f>
        <v>5000</v>
      </c>
      <c r="I17" s="31">
        <f>SUMIFS(지출기록_1월!$H$3:$H$312,지출기록_1월!$E$3:$E$312,B17,지출기록_1월!$F$3:$F$312,참조!$F$2)</f>
        <v>0</v>
      </c>
      <c r="J17" s="31">
        <f>SUMIFS(지출기록_1월!$H$3:$H$312,지출기록_1월!$E$3:$E$312,B17,지출기록_1월!$F$3:$F$312,참조!$F$3)</f>
        <v>0</v>
      </c>
      <c r="K17" s="31">
        <f t="shared" si="4"/>
        <v>0</v>
      </c>
      <c r="L17" s="31">
        <f t="shared" ca="1" si="5"/>
        <v>0</v>
      </c>
      <c r="M17" s="31">
        <f t="shared" si="6"/>
        <v>5000</v>
      </c>
    </row>
    <row r="18" spans="2:13" x14ac:dyDescent="0.3">
      <c r="B18" s="5">
        <f t="shared" si="3"/>
        <v>46034</v>
      </c>
      <c r="C18" s="3">
        <v>1</v>
      </c>
      <c r="D18" s="3">
        <v>12</v>
      </c>
      <c r="E18" s="3">
        <f t="shared" si="2"/>
        <v>2</v>
      </c>
      <c r="F18" s="4" t="str">
        <f>IF($E18=참조!$B$2,참조!$C$2,IF($E18=참조!$B$3,참조!$C$3,IF($E18=참조!$B$4,참조!$C$4,IF($E18=참조!$B$5,참조!$C$5,IF($E18=참조!$B$6,참조!$C$6,IF($E18=참조!$B$7,참조!$C$7,IF($E18=참조!$B$8,참조!$C$8,"")))))))</f>
        <v>月</v>
      </c>
      <c r="G18" s="4" t="str">
        <f>IF($F18=참조!$C$2,참조!$D$2,IF($F18=참조!$C$8,참조!$D$2,IF(COUNTIF('2026년휴일'!$B:$B,$B18)&gt;0,참조!$D$2,참조!$D$3)))</f>
        <v>休</v>
      </c>
      <c r="H18" s="31">
        <f>IF($G18=참조!$D$3,참조!$E$3,참조!$E$2)</f>
        <v>5000</v>
      </c>
      <c r="I18" s="31">
        <f>SUMIFS(지출기록_1월!$H$3:$H$312,지출기록_1월!$E$3:$E$312,B18,지출기록_1월!$F$3:$F$312,참조!$F$2)</f>
        <v>0</v>
      </c>
      <c r="J18" s="31">
        <f>SUMIFS(지출기록_1월!$H$3:$H$312,지출기록_1월!$E$3:$E$312,B18,지출기록_1월!$F$3:$F$312,참조!$F$3)</f>
        <v>0</v>
      </c>
      <c r="K18" s="31">
        <f t="shared" si="4"/>
        <v>0</v>
      </c>
      <c r="L18" s="31">
        <f t="shared" ca="1" si="5"/>
        <v>0</v>
      </c>
      <c r="M18" s="31">
        <f t="shared" si="6"/>
        <v>5000</v>
      </c>
    </row>
    <row r="19" spans="2:13" x14ac:dyDescent="0.3">
      <c r="B19" s="5">
        <f t="shared" si="3"/>
        <v>46035</v>
      </c>
      <c r="C19" s="3">
        <v>1</v>
      </c>
      <c r="D19" s="3">
        <v>13</v>
      </c>
      <c r="E19" s="3">
        <f t="shared" si="2"/>
        <v>3</v>
      </c>
      <c r="F19" s="4" t="str">
        <f>IF($E19=참조!$B$2,참조!$C$2,IF($E19=참조!$B$3,참조!$C$3,IF($E19=참조!$B$4,참조!$C$4,IF($E19=참조!$B$5,참조!$C$5,IF($E19=참조!$B$6,참조!$C$6,IF($E19=참조!$B$7,참조!$C$7,IF($E19=참조!$B$8,참조!$C$8,"")))))))</f>
        <v>火</v>
      </c>
      <c r="G19" s="4" t="str">
        <f>IF($F19=참조!$C$2,참조!$D$2,IF($F19=참조!$C$8,참조!$D$2,IF(COUNTIF('2026년휴일'!$B:$B,$B19)&gt;0,참조!$D$2,참조!$D$3)))</f>
        <v>勤</v>
      </c>
      <c r="H19" s="31">
        <f>IF($G19=참조!$D$3,참조!$E$3,참조!$E$2)</f>
        <v>1000</v>
      </c>
      <c r="I19" s="31">
        <f>SUMIFS(지출기록_1월!$H$3:$H$312,지출기록_1월!$E$3:$E$312,B19,지출기록_1월!$F$3:$F$312,참조!$F$2)</f>
        <v>0</v>
      </c>
      <c r="J19" s="31">
        <f>SUMIFS(지출기록_1월!$H$3:$H$312,지출기록_1월!$E$3:$E$312,B19,지출기록_1월!$F$3:$F$312,참조!$F$3)</f>
        <v>0</v>
      </c>
      <c r="K19" s="31">
        <f t="shared" si="4"/>
        <v>0</v>
      </c>
      <c r="L19" s="31">
        <f t="shared" ca="1" si="5"/>
        <v>0</v>
      </c>
      <c r="M19" s="31">
        <f t="shared" si="6"/>
        <v>1000</v>
      </c>
    </row>
    <row r="20" spans="2:13" x14ac:dyDescent="0.3">
      <c r="B20" s="5">
        <f t="shared" si="3"/>
        <v>46036</v>
      </c>
      <c r="C20" s="3">
        <v>1</v>
      </c>
      <c r="D20" s="3">
        <v>14</v>
      </c>
      <c r="E20" s="3">
        <f t="shared" si="2"/>
        <v>4</v>
      </c>
      <c r="F20" s="4" t="str">
        <f>IF($E20=참조!$B$2,참조!$C$2,IF($E20=참조!$B$3,참조!$C$3,IF($E20=참조!$B$4,참조!$C$4,IF($E20=참조!$B$5,참조!$C$5,IF($E20=참조!$B$6,참조!$C$6,IF($E20=참조!$B$7,참조!$C$7,IF($E20=참조!$B$8,참조!$C$8,"")))))))</f>
        <v>水</v>
      </c>
      <c r="G20" s="4" t="str">
        <f>IF($F20=참조!$C$2,참조!$D$2,IF($F20=참조!$C$8,참조!$D$2,IF(COUNTIF('2026년휴일'!$B:$B,$B20)&gt;0,참조!$D$2,참조!$D$3)))</f>
        <v>勤</v>
      </c>
      <c r="H20" s="31">
        <f>IF($G20=참조!$D$3,참조!$E$3,참조!$E$2)</f>
        <v>1000</v>
      </c>
      <c r="I20" s="31">
        <f>SUMIFS(지출기록_1월!$H$3:$H$312,지출기록_1월!$E$3:$E$312,B20,지출기록_1월!$F$3:$F$312,참조!$F$2)</f>
        <v>0</v>
      </c>
      <c r="J20" s="31">
        <f>SUMIFS(지출기록_1월!$H$3:$H$312,지출기록_1월!$E$3:$E$312,B20,지출기록_1월!$F$3:$F$312,참조!$F$3)</f>
        <v>0</v>
      </c>
      <c r="K20" s="31">
        <f t="shared" si="4"/>
        <v>0</v>
      </c>
      <c r="L20" s="31">
        <f t="shared" ca="1" si="5"/>
        <v>0</v>
      </c>
      <c r="M20" s="31">
        <f t="shared" si="6"/>
        <v>1000</v>
      </c>
    </row>
    <row r="21" spans="2:13" x14ac:dyDescent="0.3">
      <c r="B21" s="5">
        <f t="shared" si="3"/>
        <v>46037</v>
      </c>
      <c r="C21" s="3">
        <v>1</v>
      </c>
      <c r="D21" s="3">
        <v>15</v>
      </c>
      <c r="E21" s="3">
        <f t="shared" si="2"/>
        <v>5</v>
      </c>
      <c r="F21" s="4" t="str">
        <f>IF($E21=참조!$B$2,참조!$C$2,IF($E21=참조!$B$3,참조!$C$3,IF($E21=참조!$B$4,참조!$C$4,IF($E21=참조!$B$5,참조!$C$5,IF($E21=참조!$B$6,참조!$C$6,IF($E21=참조!$B$7,참조!$C$7,IF($E21=참조!$B$8,참조!$C$8,"")))))))</f>
        <v>木</v>
      </c>
      <c r="G21" s="4" t="str">
        <f>IF($F21=참조!$C$2,참조!$D$2,IF($F21=참조!$C$8,참조!$D$2,IF(COUNTIF('2026년휴일'!$B:$B,$B21)&gt;0,참조!$D$2,참조!$D$3)))</f>
        <v>勤</v>
      </c>
      <c r="H21" s="31">
        <f>IF($G21=참조!$D$3,참조!$E$3,참조!$E$2)</f>
        <v>1000</v>
      </c>
      <c r="I21" s="31">
        <f>SUMIFS(지출기록_1월!$H$3:$H$312,지출기록_1월!$E$3:$E$312,B21,지출기록_1월!$F$3:$F$312,참조!$F$2)</f>
        <v>0</v>
      </c>
      <c r="J21" s="31">
        <f>SUMIFS(지출기록_1월!$H$3:$H$312,지출기록_1월!$E$3:$E$312,B21,지출기록_1월!$F$3:$F$312,참조!$F$3)</f>
        <v>0</v>
      </c>
      <c r="K21" s="31">
        <f t="shared" si="4"/>
        <v>0</v>
      </c>
      <c r="L21" s="31">
        <f t="shared" ca="1" si="5"/>
        <v>0</v>
      </c>
      <c r="M21" s="31">
        <f t="shared" si="6"/>
        <v>1000</v>
      </c>
    </row>
    <row r="22" spans="2:13" x14ac:dyDescent="0.3">
      <c r="B22" s="5">
        <f t="shared" si="3"/>
        <v>46038</v>
      </c>
      <c r="C22" s="3">
        <v>1</v>
      </c>
      <c r="D22" s="3">
        <v>16</v>
      </c>
      <c r="E22" s="3">
        <f t="shared" si="2"/>
        <v>6</v>
      </c>
      <c r="F22" s="4" t="str">
        <f>IF($E22=참조!$B$2,참조!$C$2,IF($E22=참조!$B$3,참조!$C$3,IF($E22=참조!$B$4,참조!$C$4,IF($E22=참조!$B$5,참조!$C$5,IF($E22=참조!$B$6,참조!$C$6,IF($E22=참조!$B$7,참조!$C$7,IF($E22=참조!$B$8,참조!$C$8,"")))))))</f>
        <v>金</v>
      </c>
      <c r="G22" s="4" t="str">
        <f>IF($F22=참조!$C$2,참조!$D$2,IF($F22=참조!$C$8,참조!$D$2,IF(COUNTIF('2026년휴일'!$B:$B,$B22)&gt;0,참조!$D$2,참조!$D$3)))</f>
        <v>勤</v>
      </c>
      <c r="H22" s="31">
        <f>IF($G22=참조!$D$3,참조!$E$3,참조!$E$2)</f>
        <v>1000</v>
      </c>
      <c r="I22" s="31">
        <f>SUMIFS(지출기록_1월!$H$3:$H$312,지출기록_1월!$E$3:$E$312,B22,지출기록_1월!$F$3:$F$312,참조!$F$2)</f>
        <v>0</v>
      </c>
      <c r="J22" s="31">
        <f>SUMIFS(지출기록_1월!$H$3:$H$312,지출기록_1월!$E$3:$E$312,B22,지출기록_1월!$F$3:$F$312,참조!$F$3)</f>
        <v>0</v>
      </c>
      <c r="K22" s="31">
        <f t="shared" si="4"/>
        <v>0</v>
      </c>
      <c r="L22" s="31">
        <f t="shared" ca="1" si="5"/>
        <v>0</v>
      </c>
      <c r="M22" s="31">
        <f t="shared" si="6"/>
        <v>1000</v>
      </c>
    </row>
    <row r="23" spans="2:13" x14ac:dyDescent="0.3">
      <c r="B23" s="5">
        <f t="shared" si="3"/>
        <v>46039</v>
      </c>
      <c r="C23" s="3">
        <v>1</v>
      </c>
      <c r="D23" s="3">
        <v>17</v>
      </c>
      <c r="E23" s="3">
        <f t="shared" si="2"/>
        <v>7</v>
      </c>
      <c r="F23" s="4" t="str">
        <f>IF($E23=참조!$B$2,참조!$C$2,IF($E23=참조!$B$3,참조!$C$3,IF($E23=참조!$B$4,참조!$C$4,IF($E23=참조!$B$5,참조!$C$5,IF($E23=참조!$B$6,참조!$C$6,IF($E23=참조!$B$7,참조!$C$7,IF($E23=참조!$B$8,참조!$C$8,"")))))))</f>
        <v>土</v>
      </c>
      <c r="G23" s="4" t="str">
        <f>IF($F23=참조!$C$2,참조!$D$2,IF($F23=참조!$C$8,참조!$D$2,IF(COUNTIF('2026년휴일'!$B:$B,$B23)&gt;0,참조!$D$2,참조!$D$3)))</f>
        <v>休</v>
      </c>
      <c r="H23" s="31">
        <f>IF($G23=참조!$D$3,참조!$E$3,참조!$E$2)</f>
        <v>5000</v>
      </c>
      <c r="I23" s="31">
        <f>SUMIFS(지출기록_1월!$H$3:$H$312,지출기록_1월!$E$3:$E$312,B23,지출기록_1월!$F$3:$F$312,참조!$F$2)</f>
        <v>0</v>
      </c>
      <c r="J23" s="31">
        <f>SUMIFS(지출기록_1월!$H$3:$H$312,지출기록_1월!$E$3:$E$312,B23,지출기록_1월!$F$3:$F$312,참조!$F$3)</f>
        <v>0</v>
      </c>
      <c r="K23" s="31">
        <f t="shared" si="4"/>
        <v>0</v>
      </c>
      <c r="L23" s="31">
        <f t="shared" ca="1" si="5"/>
        <v>0</v>
      </c>
      <c r="M23" s="31">
        <f t="shared" si="6"/>
        <v>5000</v>
      </c>
    </row>
    <row r="24" spans="2:13" x14ac:dyDescent="0.3">
      <c r="B24" s="5">
        <f t="shared" si="3"/>
        <v>46040</v>
      </c>
      <c r="C24" s="3">
        <v>1</v>
      </c>
      <c r="D24" s="3">
        <v>18</v>
      </c>
      <c r="E24" s="3">
        <f t="shared" si="2"/>
        <v>1</v>
      </c>
      <c r="F24" s="4" t="str">
        <f>IF($E24=참조!$B$2,참조!$C$2,IF($E24=참조!$B$3,참조!$C$3,IF($E24=참조!$B$4,참조!$C$4,IF($E24=참조!$B$5,참조!$C$5,IF($E24=참조!$B$6,참조!$C$6,IF($E24=참조!$B$7,참조!$C$7,IF($E24=참조!$B$8,참조!$C$8,"")))))))</f>
        <v>日</v>
      </c>
      <c r="G24" s="4" t="str">
        <f>IF($F24=참조!$C$2,참조!$D$2,IF($F24=참조!$C$8,참조!$D$2,IF(COUNTIF('2026년휴일'!$B:$B,$B24)&gt;0,참조!$D$2,참조!$D$3)))</f>
        <v>休</v>
      </c>
      <c r="H24" s="31">
        <f>IF($G24=참조!$D$3,참조!$E$3,참조!$E$2)</f>
        <v>5000</v>
      </c>
      <c r="I24" s="31">
        <f>SUMIFS(지출기록_1월!$H$3:$H$312,지출기록_1월!$E$3:$E$312,B24,지출기록_1월!$F$3:$F$312,참조!$F$2)</f>
        <v>0</v>
      </c>
      <c r="J24" s="31">
        <f>SUMIFS(지출기록_1월!$H$3:$H$312,지출기록_1월!$E$3:$E$312,B24,지출기록_1월!$F$3:$F$312,참조!$F$3)</f>
        <v>0</v>
      </c>
      <c r="K24" s="31">
        <f t="shared" si="4"/>
        <v>0</v>
      </c>
      <c r="L24" s="31">
        <f t="shared" ca="1" si="5"/>
        <v>0</v>
      </c>
      <c r="M24" s="31">
        <f t="shared" si="6"/>
        <v>5000</v>
      </c>
    </row>
    <row r="25" spans="2:13" x14ac:dyDescent="0.3">
      <c r="B25" s="5">
        <f t="shared" si="3"/>
        <v>46041</v>
      </c>
      <c r="C25" s="3">
        <v>1</v>
      </c>
      <c r="D25" s="3">
        <v>19</v>
      </c>
      <c r="E25" s="3">
        <f t="shared" si="2"/>
        <v>2</v>
      </c>
      <c r="F25" s="4" t="str">
        <f>IF($E25=참조!$B$2,참조!$C$2,IF($E25=참조!$B$3,참조!$C$3,IF($E25=참조!$B$4,참조!$C$4,IF($E25=참조!$B$5,참조!$C$5,IF($E25=참조!$B$6,참조!$C$6,IF($E25=참조!$B$7,참조!$C$7,IF($E25=참조!$B$8,참조!$C$8,"")))))))</f>
        <v>月</v>
      </c>
      <c r="G25" s="4" t="str">
        <f>IF($F25=참조!$C$2,참조!$D$2,IF($F25=참조!$C$8,참조!$D$2,IF(COUNTIF('2026년휴일'!$B:$B,$B25)&gt;0,참조!$D$2,참조!$D$3)))</f>
        <v>勤</v>
      </c>
      <c r="H25" s="31">
        <f>IF($G25=참조!$D$3,참조!$E$3,참조!$E$2)</f>
        <v>1000</v>
      </c>
      <c r="I25" s="31">
        <f>SUMIFS(지출기록_1월!$H$3:$H$312,지출기록_1월!$E$3:$E$312,B25,지출기록_1월!$F$3:$F$312,참조!$F$2)</f>
        <v>0</v>
      </c>
      <c r="J25" s="31">
        <f>SUMIFS(지출기록_1월!$H$3:$H$312,지출기록_1월!$E$3:$E$312,B25,지출기록_1월!$F$3:$F$312,참조!$F$3)</f>
        <v>0</v>
      </c>
      <c r="K25" s="31">
        <f t="shared" si="4"/>
        <v>0</v>
      </c>
      <c r="L25" s="31">
        <f t="shared" ca="1" si="5"/>
        <v>0</v>
      </c>
      <c r="M25" s="31">
        <f t="shared" si="6"/>
        <v>1000</v>
      </c>
    </row>
    <row r="26" spans="2:13" x14ac:dyDescent="0.3">
      <c r="B26" s="5">
        <f t="shared" si="3"/>
        <v>46042</v>
      </c>
      <c r="C26" s="3">
        <v>1</v>
      </c>
      <c r="D26" s="3">
        <v>20</v>
      </c>
      <c r="E26" s="3">
        <f t="shared" si="2"/>
        <v>3</v>
      </c>
      <c r="F26" s="4" t="str">
        <f>IF($E26=참조!$B$2,참조!$C$2,IF($E26=참조!$B$3,참조!$C$3,IF($E26=참조!$B$4,참조!$C$4,IF($E26=참조!$B$5,참조!$C$5,IF($E26=참조!$B$6,참조!$C$6,IF($E26=참조!$B$7,참조!$C$7,IF($E26=참조!$B$8,참조!$C$8,"")))))))</f>
        <v>火</v>
      </c>
      <c r="G26" s="4" t="str">
        <f>IF($F26=참조!$C$2,참조!$D$2,IF($F26=참조!$C$8,참조!$D$2,IF(COUNTIF('2026년휴일'!$B:$B,$B26)&gt;0,참조!$D$2,참조!$D$3)))</f>
        <v>勤</v>
      </c>
      <c r="H26" s="31">
        <f>IF($G26=참조!$D$3,참조!$E$3,참조!$E$2)</f>
        <v>1000</v>
      </c>
      <c r="I26" s="31">
        <f>SUMIFS(지출기록_1월!$H$3:$H$312,지출기록_1월!$E$3:$E$312,B26,지출기록_1월!$F$3:$F$312,참조!$F$2)</f>
        <v>0</v>
      </c>
      <c r="J26" s="31">
        <f>SUMIFS(지출기록_1월!$H$3:$H$312,지출기록_1월!$E$3:$E$312,B26,지출기록_1월!$F$3:$F$312,참조!$F$3)</f>
        <v>0</v>
      </c>
      <c r="K26" s="31">
        <f t="shared" ref="K26" si="7">I26-J26</f>
        <v>0</v>
      </c>
      <c r="L26" s="31">
        <f t="shared" ca="1" si="5"/>
        <v>0</v>
      </c>
      <c r="M26" s="31">
        <f t="shared" si="6"/>
        <v>1000</v>
      </c>
    </row>
    <row r="27" spans="2:13" x14ac:dyDescent="0.3">
      <c r="B27" s="5">
        <f t="shared" si="3"/>
        <v>46043</v>
      </c>
      <c r="C27" s="3">
        <v>1</v>
      </c>
      <c r="D27" s="3">
        <v>21</v>
      </c>
      <c r="E27" s="3">
        <f t="shared" si="2"/>
        <v>4</v>
      </c>
      <c r="F27" s="4" t="str">
        <f>IF($E27=참조!$B$2,참조!$C$2,IF($E27=참조!$B$3,참조!$C$3,IF($E27=참조!$B$4,참조!$C$4,IF($E27=참조!$B$5,참조!$C$5,IF($E27=참조!$B$6,참조!$C$6,IF($E27=참조!$B$7,참조!$C$7,IF($E27=참조!$B$8,참조!$C$8,"")))))))</f>
        <v>水</v>
      </c>
      <c r="G27" s="4" t="str">
        <f>IF($F27=참조!$C$2,참조!$D$2,IF($F27=참조!$C$8,참조!$D$2,IF(COUNTIF('2026년휴일'!$B:$B,$B27)&gt;0,참조!$D$2,참조!$D$3)))</f>
        <v>勤</v>
      </c>
      <c r="H27" s="31">
        <f>IF($G27=참조!$D$3,참조!$E$3,참조!$E$2)</f>
        <v>1000</v>
      </c>
      <c r="I27" s="31">
        <f>SUMIFS(지출기록_1월!$H$3:$H$312,지출기록_1월!$E$3:$E$312,B27,지출기록_1월!$F$3:$F$312,참조!$F$2)</f>
        <v>0</v>
      </c>
      <c r="J27" s="31">
        <f>SUMIFS(지출기록_1월!$H$3:$H$312,지출기록_1월!$E$3:$E$312,B27,지출기록_1월!$F$3:$F$312,참조!$F$3)</f>
        <v>0</v>
      </c>
      <c r="K27" s="31">
        <f t="shared" ref="K27:K34" si="8">I27-J27</f>
        <v>0</v>
      </c>
      <c r="L27" s="31">
        <f t="shared" ca="1" si="5"/>
        <v>0</v>
      </c>
      <c r="M27" s="31">
        <f t="shared" si="6"/>
        <v>1000</v>
      </c>
    </row>
    <row r="28" spans="2:13" x14ac:dyDescent="0.3">
      <c r="B28" s="5">
        <f t="shared" si="3"/>
        <v>46044</v>
      </c>
      <c r="C28" s="3">
        <v>1</v>
      </c>
      <c r="D28" s="3">
        <v>22</v>
      </c>
      <c r="E28" s="3">
        <f t="shared" si="2"/>
        <v>5</v>
      </c>
      <c r="F28" s="4" t="str">
        <f>IF($E28=참조!$B$2,참조!$C$2,IF($E28=참조!$B$3,참조!$C$3,IF($E28=참조!$B$4,참조!$C$4,IF($E28=참조!$B$5,참조!$C$5,IF($E28=참조!$B$6,참조!$C$6,IF($E28=참조!$B$7,참조!$C$7,IF($E28=참조!$B$8,참조!$C$8,"")))))))</f>
        <v>木</v>
      </c>
      <c r="G28" s="4" t="str">
        <f>IF($F28=참조!$C$2,참조!$D$2,IF($F28=참조!$C$8,참조!$D$2,IF(COUNTIF('2026년휴일'!$B:$B,$B28)&gt;0,참조!$D$2,참조!$D$3)))</f>
        <v>勤</v>
      </c>
      <c r="H28" s="31">
        <f>IF($G28=참조!$D$3,참조!$E$3,참조!$E$2)</f>
        <v>1000</v>
      </c>
      <c r="I28" s="31">
        <f>SUMIFS(지출기록_1월!$H$3:$H$312,지출기록_1월!$E$3:$E$312,B28,지출기록_1월!$F$3:$F$312,참조!$F$2)</f>
        <v>0</v>
      </c>
      <c r="J28" s="31">
        <f>SUMIFS(지출기록_1월!$H$3:$H$312,지출기록_1월!$E$3:$E$312,B28,지출기록_1월!$F$3:$F$312,참조!$F$3)</f>
        <v>0</v>
      </c>
      <c r="K28" s="31">
        <f t="shared" si="8"/>
        <v>0</v>
      </c>
      <c r="L28" s="31">
        <f t="shared" ca="1" si="5"/>
        <v>0</v>
      </c>
      <c r="M28" s="31">
        <f t="shared" si="6"/>
        <v>1000</v>
      </c>
    </row>
    <row r="29" spans="2:13" x14ac:dyDescent="0.3">
      <c r="B29" s="5">
        <f t="shared" si="3"/>
        <v>46045</v>
      </c>
      <c r="C29" s="3">
        <v>1</v>
      </c>
      <c r="D29" s="3">
        <v>23</v>
      </c>
      <c r="E29" s="3">
        <f t="shared" si="2"/>
        <v>6</v>
      </c>
      <c r="F29" s="4" t="str">
        <f>IF($E29=참조!$B$2,참조!$C$2,IF($E29=참조!$B$3,참조!$C$3,IF($E29=참조!$B$4,참조!$C$4,IF($E29=참조!$B$5,참조!$C$5,IF($E29=참조!$B$6,참조!$C$6,IF($E29=참조!$B$7,참조!$C$7,IF($E29=참조!$B$8,참조!$C$8,"")))))))</f>
        <v>金</v>
      </c>
      <c r="G29" s="4" t="str">
        <f>IF($F29=참조!$C$2,참조!$D$2,IF($F29=참조!$C$8,참조!$D$2,IF(COUNTIF('2026년휴일'!$B:$B,$B29)&gt;0,참조!$D$2,참조!$D$3)))</f>
        <v>勤</v>
      </c>
      <c r="H29" s="31">
        <f>IF($G29=참조!$D$3,참조!$E$3,참조!$E$2)</f>
        <v>1000</v>
      </c>
      <c r="I29" s="31">
        <f>SUMIFS(지출기록_1월!$H$3:$H$312,지출기록_1월!$E$3:$E$312,B29,지출기록_1월!$F$3:$F$312,참조!$F$2)</f>
        <v>0</v>
      </c>
      <c r="J29" s="31">
        <f>SUMIFS(지출기록_1월!$H$3:$H$312,지출기록_1월!$E$3:$E$312,B29,지출기록_1월!$F$3:$F$312,참조!$F$3)</f>
        <v>0</v>
      </c>
      <c r="K29" s="31">
        <f t="shared" si="8"/>
        <v>0</v>
      </c>
      <c r="L29" s="31">
        <f t="shared" ca="1" si="5"/>
        <v>0</v>
      </c>
      <c r="M29" s="31">
        <f t="shared" si="6"/>
        <v>1000</v>
      </c>
    </row>
    <row r="30" spans="2:13" x14ac:dyDescent="0.3">
      <c r="B30" s="5">
        <f t="shared" si="3"/>
        <v>46046</v>
      </c>
      <c r="C30" s="3">
        <v>1</v>
      </c>
      <c r="D30" s="3">
        <v>24</v>
      </c>
      <c r="E30" s="3">
        <f t="shared" si="2"/>
        <v>7</v>
      </c>
      <c r="F30" s="4" t="str">
        <f>IF($E30=참조!$B$2,참조!$C$2,IF($E30=참조!$B$3,참조!$C$3,IF($E30=참조!$B$4,참조!$C$4,IF($E30=참조!$B$5,참조!$C$5,IF($E30=참조!$B$6,참조!$C$6,IF($E30=참조!$B$7,참조!$C$7,IF($E30=참조!$B$8,참조!$C$8,"")))))))</f>
        <v>土</v>
      </c>
      <c r="G30" s="4" t="str">
        <f>IF($F30=참조!$C$2,참조!$D$2,IF($F30=참조!$C$8,참조!$D$2,IF(COUNTIF('2026년휴일'!$B:$B,$B30)&gt;0,참조!$D$2,참조!$D$3)))</f>
        <v>休</v>
      </c>
      <c r="H30" s="31">
        <f>IF($G30=참조!$D$3,참조!$E$3,참조!$E$2)</f>
        <v>5000</v>
      </c>
      <c r="I30" s="31">
        <f>SUMIFS(지출기록_1월!$H$3:$H$312,지출기록_1월!$E$3:$E$312,B30,지출기록_1월!$F$3:$F$312,참조!$F$2)</f>
        <v>0</v>
      </c>
      <c r="J30" s="31">
        <f>SUMIFS(지출기록_1월!$H$3:$H$312,지출기록_1월!$E$3:$E$312,B30,지출기록_1월!$F$3:$F$312,참조!$F$3)</f>
        <v>0</v>
      </c>
      <c r="K30" s="31">
        <f t="shared" si="8"/>
        <v>0</v>
      </c>
      <c r="L30" s="31">
        <f t="shared" ca="1" si="5"/>
        <v>0</v>
      </c>
      <c r="M30" s="31">
        <f t="shared" si="6"/>
        <v>5000</v>
      </c>
    </row>
    <row r="31" spans="2:13" x14ac:dyDescent="0.3">
      <c r="B31" s="5">
        <f t="shared" si="3"/>
        <v>46047</v>
      </c>
      <c r="C31" s="3">
        <v>1</v>
      </c>
      <c r="D31" s="3">
        <v>25</v>
      </c>
      <c r="E31" s="3">
        <f t="shared" si="2"/>
        <v>1</v>
      </c>
      <c r="F31" s="4" t="str">
        <f>IF($E31=참조!$B$2,참조!$C$2,IF($E31=참조!$B$3,참조!$C$3,IF($E31=참조!$B$4,참조!$C$4,IF($E31=참조!$B$5,참조!$C$5,IF($E31=참조!$B$6,참조!$C$6,IF($E31=참조!$B$7,참조!$C$7,IF($E31=참조!$B$8,참조!$C$8,"")))))))</f>
        <v>日</v>
      </c>
      <c r="G31" s="4" t="str">
        <f>IF($F31=참조!$C$2,참조!$D$2,IF($F31=참조!$C$8,참조!$D$2,IF(COUNTIF('2026년휴일'!$B:$B,$B31)&gt;0,참조!$D$2,참조!$D$3)))</f>
        <v>休</v>
      </c>
      <c r="H31" s="31">
        <f>IF($G31=참조!$D$3,참조!$E$3,참조!$E$2)</f>
        <v>5000</v>
      </c>
      <c r="I31" s="31">
        <f>SUMIFS(지출기록_1월!$H$3:$H$312,지출기록_1월!$E$3:$E$312,B31,지출기록_1월!$F$3:$F$312,참조!$F$2)</f>
        <v>0</v>
      </c>
      <c r="J31" s="31">
        <f>SUMIFS(지출기록_1월!$H$3:$H$312,지출기록_1월!$E$3:$E$312,B31,지출기록_1월!$F$3:$F$312,참조!$F$3)</f>
        <v>0</v>
      </c>
      <c r="K31" s="31">
        <f t="shared" si="8"/>
        <v>0</v>
      </c>
      <c r="L31" s="31">
        <f t="shared" ca="1" si="5"/>
        <v>0</v>
      </c>
      <c r="M31" s="31">
        <f t="shared" si="6"/>
        <v>5000</v>
      </c>
    </row>
    <row r="32" spans="2:13" x14ac:dyDescent="0.3">
      <c r="B32" s="5">
        <f t="shared" si="3"/>
        <v>46048</v>
      </c>
      <c r="C32" s="3">
        <v>1</v>
      </c>
      <c r="D32" s="3">
        <v>26</v>
      </c>
      <c r="E32" s="3">
        <f t="shared" si="2"/>
        <v>2</v>
      </c>
      <c r="F32" s="4" t="str">
        <f>IF($E32=참조!$B$2,참조!$C$2,IF($E32=참조!$B$3,참조!$C$3,IF($E32=참조!$B$4,참조!$C$4,IF($E32=참조!$B$5,참조!$C$5,IF($E32=참조!$B$6,참조!$C$6,IF($E32=참조!$B$7,참조!$C$7,IF($E32=참조!$B$8,참조!$C$8,"")))))))</f>
        <v>月</v>
      </c>
      <c r="G32" s="4" t="str">
        <f>IF($F32=참조!$C$2,참조!$D$2,IF($F32=참조!$C$8,참조!$D$2,IF(COUNTIF('2026년휴일'!$B:$B,$B32)&gt;0,참조!$D$2,참조!$D$3)))</f>
        <v>勤</v>
      </c>
      <c r="H32" s="31">
        <f>IF($G32=참조!$D$3,참조!$E$3,참조!$E$2)</f>
        <v>1000</v>
      </c>
      <c r="I32" s="31">
        <f>SUMIFS(지출기록_1월!$H$3:$H$312,지출기록_1월!$E$3:$E$312,B32,지출기록_1월!$F$3:$F$312,참조!$F$2)</f>
        <v>0</v>
      </c>
      <c r="J32" s="31">
        <f>SUMIFS(지출기록_1월!$H$3:$H$312,지출기록_1월!$E$3:$E$312,B32,지출기록_1월!$F$3:$F$312,참조!$F$3)</f>
        <v>0</v>
      </c>
      <c r="K32" s="31">
        <f t="shared" si="8"/>
        <v>0</v>
      </c>
      <c r="L32" s="31">
        <f t="shared" ca="1" si="5"/>
        <v>0</v>
      </c>
      <c r="M32" s="31">
        <f t="shared" si="6"/>
        <v>1000</v>
      </c>
    </row>
    <row r="33" spans="2:13" x14ac:dyDescent="0.3">
      <c r="B33" s="5">
        <f t="shared" si="3"/>
        <v>46049</v>
      </c>
      <c r="C33" s="3">
        <v>1</v>
      </c>
      <c r="D33" s="3">
        <v>27</v>
      </c>
      <c r="E33" s="3">
        <f t="shared" si="2"/>
        <v>3</v>
      </c>
      <c r="F33" s="4" t="str">
        <f>IF($E33=참조!$B$2,참조!$C$2,IF($E33=참조!$B$3,참조!$C$3,IF($E33=참조!$B$4,참조!$C$4,IF($E33=참조!$B$5,참조!$C$5,IF($E33=참조!$B$6,참조!$C$6,IF($E33=참조!$B$7,참조!$C$7,IF($E33=참조!$B$8,참조!$C$8,"")))))))</f>
        <v>火</v>
      </c>
      <c r="G33" s="4" t="str">
        <f>IF($F33=참조!$C$2,참조!$D$2,IF($F33=참조!$C$8,참조!$D$2,IF(COUNTIF('2026년휴일'!$B:$B,$B33)&gt;0,참조!$D$2,참조!$D$3)))</f>
        <v>勤</v>
      </c>
      <c r="H33" s="31">
        <f>IF($G33=참조!$D$3,참조!$E$3,참조!$E$2)</f>
        <v>1000</v>
      </c>
      <c r="I33" s="31">
        <f>SUMIFS(지출기록_1월!$H$3:$H$312,지출기록_1월!$E$3:$E$312,B33,지출기록_1월!$F$3:$F$312,참조!$F$2)</f>
        <v>0</v>
      </c>
      <c r="J33" s="31">
        <f>SUMIFS(지출기록_1월!$H$3:$H$312,지출기록_1월!$E$3:$E$312,B33,지출기록_1월!$F$3:$F$312,참조!$F$3)</f>
        <v>0</v>
      </c>
      <c r="K33" s="31">
        <f t="shared" si="8"/>
        <v>0</v>
      </c>
      <c r="L33" s="31">
        <f t="shared" ca="1" si="5"/>
        <v>0</v>
      </c>
      <c r="M33" s="31">
        <f t="shared" si="6"/>
        <v>1000</v>
      </c>
    </row>
    <row r="34" spans="2:13" x14ac:dyDescent="0.3">
      <c r="B34" s="5">
        <f t="shared" si="3"/>
        <v>46050</v>
      </c>
      <c r="C34" s="3">
        <v>1</v>
      </c>
      <c r="D34" s="3">
        <v>28</v>
      </c>
      <c r="E34" s="3">
        <f t="shared" si="2"/>
        <v>4</v>
      </c>
      <c r="F34" s="4" t="str">
        <f>IF($E34=참조!$B$2,참조!$C$2,IF($E34=참조!$B$3,참조!$C$3,IF($E34=참조!$B$4,참조!$C$4,IF($E34=참조!$B$5,참조!$C$5,IF($E34=참조!$B$6,참조!$C$6,IF($E34=참조!$B$7,참조!$C$7,IF($E34=참조!$B$8,참조!$C$8,"")))))))</f>
        <v>水</v>
      </c>
      <c r="G34" s="4" t="str">
        <f>IF($F34=참조!$C$2,참조!$D$2,IF($F34=참조!$C$8,참조!$D$2,IF(COUNTIF('2026년휴일'!$B:$B,$B34)&gt;0,참조!$D$2,참조!$D$3)))</f>
        <v>勤</v>
      </c>
      <c r="H34" s="31">
        <f>IF($G34=참조!$D$3,참조!$E$3,참조!$E$2)</f>
        <v>1000</v>
      </c>
      <c r="I34" s="31">
        <f>SUMIFS(지출기록_1월!$H$3:$H$312,지출기록_1월!$E$3:$E$312,B34,지출기록_1월!$F$3:$F$312,참조!$F$2)</f>
        <v>0</v>
      </c>
      <c r="J34" s="31">
        <f>SUMIFS(지출기록_1월!$H$3:$H$312,지출기록_1월!$E$3:$E$312,B34,지출기록_1월!$F$3:$F$312,참조!$F$3)</f>
        <v>0</v>
      </c>
      <c r="K34" s="31">
        <f t="shared" si="8"/>
        <v>0</v>
      </c>
      <c r="L34" s="31">
        <f t="shared" ca="1" si="5"/>
        <v>0</v>
      </c>
      <c r="M34" s="31">
        <f t="shared" si="6"/>
        <v>1000</v>
      </c>
    </row>
    <row r="35" spans="2:13" x14ac:dyDescent="0.3">
      <c r="B35" s="5">
        <f t="shared" si="3"/>
        <v>46051</v>
      </c>
      <c r="C35" s="3">
        <v>1</v>
      </c>
      <c r="D35" s="3">
        <v>29</v>
      </c>
      <c r="E35" s="3">
        <f t="shared" si="2"/>
        <v>5</v>
      </c>
      <c r="F35" s="4" t="str">
        <f>IF($E35=참조!$B$2,참조!$C$2,IF($E35=참조!$B$3,참조!$C$3,IF($E35=참조!$B$4,참조!$C$4,IF($E35=참조!$B$5,참조!$C$5,IF($E35=참조!$B$6,참조!$C$6,IF($E35=참조!$B$7,참조!$C$7,IF($E35=참조!$B$8,참조!$C$8,"")))))))</f>
        <v>木</v>
      </c>
      <c r="G35" s="4" t="str">
        <f>IF($F35=참조!$C$2,참조!$D$2,IF($F35=참조!$C$8,참조!$D$2,IF(COUNTIF('2026년휴일'!$B:$B,$B35)&gt;0,참조!$D$2,참조!$D$3)))</f>
        <v>勤</v>
      </c>
      <c r="H35" s="31">
        <f>IF($G35=참조!$D$3,참조!$E$3,참조!$E$2)</f>
        <v>1000</v>
      </c>
      <c r="I35" s="31">
        <f>SUMIFS(지출기록_1월!$H$3:$H$312,지출기록_1월!$E$3:$E$312,B35,지출기록_1월!$F$3:$F$312,참조!$F$2)</f>
        <v>0</v>
      </c>
      <c r="J35" s="31">
        <f>SUMIFS(지출기록_1월!$H$3:$H$312,지출기록_1월!$E$3:$E$312,B35,지출기록_1월!$F$3:$F$312,참조!$F$3)</f>
        <v>0</v>
      </c>
      <c r="K35" s="31">
        <f t="shared" ref="K35:K63" si="9">I35-J35</f>
        <v>0</v>
      </c>
      <c r="L35" s="31">
        <f t="shared" ca="1" si="5"/>
        <v>0</v>
      </c>
      <c r="M35" s="31">
        <f t="shared" si="6"/>
        <v>1000</v>
      </c>
    </row>
    <row r="36" spans="2:13" x14ac:dyDescent="0.3">
      <c r="B36" s="5">
        <f t="shared" si="3"/>
        <v>46052</v>
      </c>
      <c r="C36" s="3">
        <v>1</v>
      </c>
      <c r="D36" s="3">
        <v>30</v>
      </c>
      <c r="E36" s="3">
        <f t="shared" si="2"/>
        <v>6</v>
      </c>
      <c r="F36" s="4" t="str">
        <f>IF($E36=참조!$B$2,참조!$C$2,IF($E36=참조!$B$3,참조!$C$3,IF($E36=참조!$B$4,참조!$C$4,IF($E36=참조!$B$5,참조!$C$5,IF($E36=참조!$B$6,참조!$C$6,IF($E36=참조!$B$7,참조!$C$7,IF($E36=참조!$B$8,참조!$C$8,"")))))))</f>
        <v>金</v>
      </c>
      <c r="G36" s="4" t="str">
        <f>IF($F36=참조!$C$2,참조!$D$2,IF($F36=참조!$C$8,참조!$D$2,IF(COUNTIF('2026년휴일'!$B:$B,$B36)&gt;0,참조!$D$2,참조!$D$3)))</f>
        <v>勤</v>
      </c>
      <c r="H36" s="31">
        <f>IF($G36=참조!$D$3,참조!$E$3,참조!$E$2)</f>
        <v>1000</v>
      </c>
      <c r="I36" s="31">
        <f>SUMIFS(지출기록_1월!$H$3:$H$312,지출기록_1월!$E$3:$E$312,B36,지출기록_1월!$F$3:$F$312,참조!$F$2)</f>
        <v>0</v>
      </c>
      <c r="J36" s="31">
        <f>SUMIFS(지출기록_1월!$H$3:$H$312,지출기록_1월!$E$3:$E$312,B36,지출기록_1월!$F$3:$F$312,참조!$F$3)</f>
        <v>0</v>
      </c>
      <c r="K36" s="31">
        <f t="shared" si="9"/>
        <v>0</v>
      </c>
      <c r="L36" s="31">
        <f t="shared" ca="1" si="5"/>
        <v>0</v>
      </c>
      <c r="M36" s="31">
        <f t="shared" si="6"/>
        <v>1000</v>
      </c>
    </row>
    <row r="37" spans="2:13" x14ac:dyDescent="0.3">
      <c r="B37" s="5">
        <f t="shared" si="3"/>
        <v>46053</v>
      </c>
      <c r="C37" s="3">
        <v>1</v>
      </c>
      <c r="D37" s="3">
        <v>31</v>
      </c>
      <c r="E37" s="3">
        <f t="shared" si="2"/>
        <v>7</v>
      </c>
      <c r="F37" s="4" t="str">
        <f>IF($E37=참조!$B$2,참조!$C$2,IF($E37=참조!$B$3,참조!$C$3,IF($E37=참조!$B$4,참조!$C$4,IF($E37=참조!$B$5,참조!$C$5,IF($E37=참조!$B$6,참조!$C$6,IF($E37=참조!$B$7,참조!$C$7,IF($E37=참조!$B$8,참조!$C$8,"")))))))</f>
        <v>土</v>
      </c>
      <c r="G37" s="4" t="str">
        <f>IF($F37=참조!$C$2,참조!$D$2,IF($F37=참조!$C$8,참조!$D$2,IF(COUNTIF('2026년휴일'!$B:$B,$B37)&gt;0,참조!$D$2,참조!$D$3)))</f>
        <v>休</v>
      </c>
      <c r="H37" s="31">
        <f>IF($G37=참조!$D$3,참조!$E$3,참조!$E$2)</f>
        <v>5000</v>
      </c>
      <c r="I37" s="31">
        <f>SUMIFS(지출기록_1월!$H$3:$H$312,지출기록_1월!$E$3:$E$312,B37,지출기록_1월!$F$3:$F$312,참조!$F$2)</f>
        <v>0</v>
      </c>
      <c r="J37" s="31">
        <f>SUMIFS(지출기록_1월!$H$3:$H$312,지출기록_1월!$E$3:$E$312,B37,지출기록_1월!$F$3:$F$312,참조!$F$3)</f>
        <v>0</v>
      </c>
      <c r="K37" s="31">
        <f t="shared" si="9"/>
        <v>0</v>
      </c>
      <c r="L37" s="31">
        <f t="shared" ca="1" si="5"/>
        <v>0</v>
      </c>
      <c r="M37" s="31">
        <f t="shared" si="6"/>
        <v>5000</v>
      </c>
    </row>
    <row r="38" spans="2:13" x14ac:dyDescent="0.3">
      <c r="B38" s="5">
        <f t="shared" si="3"/>
        <v>46054</v>
      </c>
      <c r="C38" s="3">
        <v>2</v>
      </c>
      <c r="D38" s="3">
        <v>1</v>
      </c>
      <c r="E38" s="3">
        <f t="shared" si="2"/>
        <v>1</v>
      </c>
      <c r="F38" s="4" t="str">
        <f>IF($E38=참조!$B$2,참조!$C$2,IF($E38=참조!$B$3,참조!$C$3,IF($E38=참조!$B$4,참조!$C$4,IF($E38=참조!$B$5,참조!$C$5,IF($E38=참조!$B$6,참조!$C$6,IF($E38=참조!$B$7,참조!$C$7,IF($E38=참조!$B$8,참조!$C$8,"")))))))</f>
        <v>日</v>
      </c>
      <c r="G38" s="4" t="str">
        <f>IF($F38=참조!$C$2,참조!$D$2,IF($F38=참조!$C$8,참조!$D$2,IF(COUNTIF('2026년휴일'!$B:$B,$B38)&gt;0,참조!$D$2,참조!$D$3)))</f>
        <v>休</v>
      </c>
      <c r="H38" s="31">
        <f>IF($G38=참조!$D$3,참조!$E$3,참조!$E$2)</f>
        <v>5000</v>
      </c>
      <c r="I38" s="31">
        <f>SUMIFS(지출기록_2월!$H$3:$H$312,지출기록_2월!$E$3:$E$312,B38,지출기록_2월!$F$3:$F$312,참조!$F$2)</f>
        <v>0</v>
      </c>
      <c r="J38" s="31">
        <f>SUMIFS(지출기록_2월!$H$3:$H$312,지출기록_2월!$E$3:$E$312,B38,지출기록_2월!$F$3:$F$312,참조!$F$3)</f>
        <v>0</v>
      </c>
      <c r="K38" s="31">
        <f t="shared" si="9"/>
        <v>0</v>
      </c>
      <c r="L38" s="31">
        <f t="shared" ca="1" si="5"/>
        <v>0</v>
      </c>
      <c r="M38" s="31">
        <f t="shared" si="6"/>
        <v>5000</v>
      </c>
    </row>
    <row r="39" spans="2:13" x14ac:dyDescent="0.3">
      <c r="B39" s="5">
        <f t="shared" si="3"/>
        <v>46055</v>
      </c>
      <c r="C39" s="3">
        <v>2</v>
      </c>
      <c r="D39" s="3">
        <v>2</v>
      </c>
      <c r="E39" s="3">
        <f t="shared" si="2"/>
        <v>2</v>
      </c>
      <c r="F39" s="4" t="str">
        <f>IF($E39=참조!$B$2,참조!$C$2,IF($E39=참조!$B$3,참조!$C$3,IF($E39=참조!$B$4,참조!$C$4,IF($E39=참조!$B$5,참조!$C$5,IF($E39=참조!$B$6,참조!$C$6,IF($E39=참조!$B$7,참조!$C$7,IF($E39=참조!$B$8,참조!$C$8,"")))))))</f>
        <v>月</v>
      </c>
      <c r="G39" s="4" t="str">
        <f>IF($F39=참조!$C$2,참조!$D$2,IF($F39=참조!$C$8,참조!$D$2,IF(COUNTIF('2026년휴일'!$B:$B,$B39)&gt;0,참조!$D$2,참조!$D$3)))</f>
        <v>勤</v>
      </c>
      <c r="H39" s="31">
        <f>IF($G39=참조!$D$3,참조!$E$3,참조!$E$2)</f>
        <v>1000</v>
      </c>
      <c r="I39" s="31">
        <f>SUMIFS(지출기록_2월!$H$3:$H$312,지출기록_2월!$E$3:$E$312,B39,지출기록_2월!$F$3:$F$312,참조!$F$2)</f>
        <v>0</v>
      </c>
      <c r="J39" s="31">
        <f>SUMIFS(지출기록_2월!$H$3:$H$312,지출기록_2월!$E$3:$E$312,B39,지출기록_2월!$F$3:$F$312,참조!$F$3)</f>
        <v>0</v>
      </c>
      <c r="K39" s="31">
        <f t="shared" si="9"/>
        <v>0</v>
      </c>
      <c r="L39" s="31">
        <f t="shared" ca="1" si="5"/>
        <v>0</v>
      </c>
      <c r="M39" s="31">
        <f t="shared" si="6"/>
        <v>1000</v>
      </c>
    </row>
    <row r="40" spans="2:13" x14ac:dyDescent="0.3">
      <c r="B40" s="5">
        <f t="shared" si="3"/>
        <v>46056</v>
      </c>
      <c r="C40" s="3">
        <v>2</v>
      </c>
      <c r="D40" s="3">
        <v>3</v>
      </c>
      <c r="E40" s="3">
        <f t="shared" si="2"/>
        <v>3</v>
      </c>
      <c r="F40" s="4" t="str">
        <f>IF($E40=참조!$B$2,참조!$C$2,IF($E40=참조!$B$3,참조!$C$3,IF($E40=참조!$B$4,참조!$C$4,IF($E40=참조!$B$5,참조!$C$5,IF($E40=참조!$B$6,참조!$C$6,IF($E40=참조!$B$7,참조!$C$7,IF($E40=참조!$B$8,참조!$C$8,"")))))))</f>
        <v>火</v>
      </c>
      <c r="G40" s="4" t="str">
        <f>IF($F40=참조!$C$2,참조!$D$2,IF($F40=참조!$C$8,참조!$D$2,IF(COUNTIF('2026년휴일'!$B:$B,$B40)&gt;0,참조!$D$2,참조!$D$3)))</f>
        <v>勤</v>
      </c>
      <c r="H40" s="31">
        <f>IF($G40=참조!$D$3,참조!$E$3,참조!$E$2)</f>
        <v>1000</v>
      </c>
      <c r="I40" s="31">
        <f>SUMIFS(지출기록_2월!$H$3:$H$312,지출기록_2월!$E$3:$E$312,B40,지출기록_2월!$F$3:$F$312,참조!$F$2)</f>
        <v>0</v>
      </c>
      <c r="J40" s="31">
        <f>SUMIFS(지출기록_2월!$H$3:$H$312,지출기록_2월!$E$3:$E$312,B40,지출기록_2월!$F$3:$F$312,참조!$F$3)</f>
        <v>0</v>
      </c>
      <c r="K40" s="31">
        <f t="shared" si="9"/>
        <v>0</v>
      </c>
      <c r="L40" s="31">
        <f t="shared" ca="1" si="5"/>
        <v>0</v>
      </c>
      <c r="M40" s="31">
        <f t="shared" si="6"/>
        <v>1000</v>
      </c>
    </row>
    <row r="41" spans="2:13" x14ac:dyDescent="0.3">
      <c r="B41" s="5">
        <f t="shared" si="3"/>
        <v>46057</v>
      </c>
      <c r="C41" s="3">
        <v>2</v>
      </c>
      <c r="D41" s="3">
        <v>4</v>
      </c>
      <c r="E41" s="3">
        <f t="shared" si="2"/>
        <v>4</v>
      </c>
      <c r="F41" s="4" t="str">
        <f>IF($E41=참조!$B$2,참조!$C$2,IF($E41=참조!$B$3,참조!$C$3,IF($E41=참조!$B$4,참조!$C$4,IF($E41=참조!$B$5,참조!$C$5,IF($E41=참조!$B$6,참조!$C$6,IF($E41=참조!$B$7,참조!$C$7,IF($E41=참조!$B$8,참조!$C$8,"")))))))</f>
        <v>水</v>
      </c>
      <c r="G41" s="4" t="str">
        <f>IF($F41=참조!$C$2,참조!$D$2,IF($F41=참조!$C$8,참조!$D$2,IF(COUNTIF('2026년휴일'!$B:$B,$B41)&gt;0,참조!$D$2,참조!$D$3)))</f>
        <v>勤</v>
      </c>
      <c r="H41" s="31">
        <f>IF($G41=참조!$D$3,참조!$E$3,참조!$E$2)</f>
        <v>1000</v>
      </c>
      <c r="I41" s="31">
        <f>SUMIFS(지출기록_2월!$H$3:$H$312,지출기록_2월!$E$3:$E$312,B41,지출기록_2월!$F$3:$F$312,참조!$F$2)</f>
        <v>0</v>
      </c>
      <c r="J41" s="31">
        <f>SUMIFS(지출기록_2월!$H$3:$H$312,지출기록_2월!$E$3:$E$312,B41,지출기록_2월!$F$3:$F$312,참조!$F$3)</f>
        <v>0</v>
      </c>
      <c r="K41" s="31">
        <f t="shared" si="9"/>
        <v>0</v>
      </c>
      <c r="L41" s="31">
        <f t="shared" ca="1" si="5"/>
        <v>0</v>
      </c>
      <c r="M41" s="31">
        <f t="shared" si="6"/>
        <v>1000</v>
      </c>
    </row>
    <row r="42" spans="2:13" x14ac:dyDescent="0.3">
      <c r="B42" s="5">
        <f t="shared" si="3"/>
        <v>46058</v>
      </c>
      <c r="C42" s="3">
        <v>2</v>
      </c>
      <c r="D42" s="3">
        <v>5</v>
      </c>
      <c r="E42" s="3">
        <f t="shared" si="2"/>
        <v>5</v>
      </c>
      <c r="F42" s="4" t="str">
        <f>IF($E42=참조!$B$2,참조!$C$2,IF($E42=참조!$B$3,참조!$C$3,IF($E42=참조!$B$4,참조!$C$4,IF($E42=참조!$B$5,참조!$C$5,IF($E42=참조!$B$6,참조!$C$6,IF($E42=참조!$B$7,참조!$C$7,IF($E42=참조!$B$8,참조!$C$8,"")))))))</f>
        <v>木</v>
      </c>
      <c r="G42" s="4" t="str">
        <f>IF($F42=참조!$C$2,참조!$D$2,IF($F42=참조!$C$8,참조!$D$2,IF(COUNTIF('2026년휴일'!$B:$B,$B42)&gt;0,참조!$D$2,참조!$D$3)))</f>
        <v>勤</v>
      </c>
      <c r="H42" s="31">
        <f>IF($G42=참조!$D$3,참조!$E$3,참조!$E$2)</f>
        <v>1000</v>
      </c>
      <c r="I42" s="31">
        <f>SUMIFS(지출기록_2월!$H$3:$H$312,지출기록_2월!$E$3:$E$312,B42,지출기록_2월!$F$3:$F$312,참조!$F$2)</f>
        <v>0</v>
      </c>
      <c r="J42" s="31">
        <f>SUMIFS(지출기록_2월!$H$3:$H$312,지출기록_2월!$E$3:$E$312,B42,지출기록_2월!$F$3:$F$312,참조!$F$3)</f>
        <v>0</v>
      </c>
      <c r="K42" s="31">
        <f t="shared" si="9"/>
        <v>0</v>
      </c>
      <c r="L42" s="31">
        <f t="shared" ca="1" si="5"/>
        <v>0</v>
      </c>
      <c r="M42" s="31">
        <f t="shared" si="6"/>
        <v>1000</v>
      </c>
    </row>
    <row r="43" spans="2:13" x14ac:dyDescent="0.3">
      <c r="B43" s="5">
        <f t="shared" si="3"/>
        <v>46059</v>
      </c>
      <c r="C43" s="3">
        <v>2</v>
      </c>
      <c r="D43" s="3">
        <v>6</v>
      </c>
      <c r="E43" s="3">
        <f t="shared" si="2"/>
        <v>6</v>
      </c>
      <c r="F43" s="4" t="str">
        <f>IF($E43=참조!$B$2,참조!$C$2,IF($E43=참조!$B$3,참조!$C$3,IF($E43=참조!$B$4,참조!$C$4,IF($E43=참조!$B$5,참조!$C$5,IF($E43=참조!$B$6,참조!$C$6,IF($E43=참조!$B$7,참조!$C$7,IF($E43=참조!$B$8,참조!$C$8,"")))))))</f>
        <v>金</v>
      </c>
      <c r="G43" s="4" t="str">
        <f>IF($F43=참조!$C$2,참조!$D$2,IF($F43=참조!$C$8,참조!$D$2,IF(COUNTIF('2026년휴일'!$B:$B,$B43)&gt;0,참조!$D$2,참조!$D$3)))</f>
        <v>勤</v>
      </c>
      <c r="H43" s="31">
        <f>IF($G43=참조!$D$3,참조!$E$3,참조!$E$2)</f>
        <v>1000</v>
      </c>
      <c r="I43" s="31">
        <f>SUMIFS(지출기록_2월!$H$3:$H$312,지출기록_2월!$E$3:$E$312,B43,지출기록_2월!$F$3:$F$312,참조!$F$2)</f>
        <v>0</v>
      </c>
      <c r="J43" s="31">
        <f>SUMIFS(지출기록_2월!$H$3:$H$312,지출기록_2월!$E$3:$E$312,B43,지출기록_2월!$F$3:$F$312,참조!$F$3)</f>
        <v>0</v>
      </c>
      <c r="K43" s="31">
        <f t="shared" si="9"/>
        <v>0</v>
      </c>
      <c r="L43" s="31">
        <f t="shared" ca="1" si="5"/>
        <v>0</v>
      </c>
      <c r="M43" s="31">
        <f t="shared" si="6"/>
        <v>1000</v>
      </c>
    </row>
    <row r="44" spans="2:13" x14ac:dyDescent="0.3">
      <c r="B44" s="5">
        <f t="shared" si="3"/>
        <v>46060</v>
      </c>
      <c r="C44" s="3">
        <v>2</v>
      </c>
      <c r="D44" s="3">
        <v>7</v>
      </c>
      <c r="E44" s="3">
        <f t="shared" si="2"/>
        <v>7</v>
      </c>
      <c r="F44" s="4" t="str">
        <f>IF($E44=참조!$B$2,참조!$C$2,IF($E44=참조!$B$3,참조!$C$3,IF($E44=참조!$B$4,참조!$C$4,IF($E44=참조!$B$5,참조!$C$5,IF($E44=참조!$B$6,참조!$C$6,IF($E44=참조!$B$7,참조!$C$7,IF($E44=참조!$B$8,참조!$C$8,"")))))))</f>
        <v>土</v>
      </c>
      <c r="G44" s="4" t="str">
        <f>IF($F44=참조!$C$2,참조!$D$2,IF($F44=참조!$C$8,참조!$D$2,IF(COUNTIF('2026년휴일'!$B:$B,$B44)&gt;0,참조!$D$2,참조!$D$3)))</f>
        <v>休</v>
      </c>
      <c r="H44" s="31">
        <f>IF($G44=참조!$D$3,참조!$E$3,참조!$E$2)</f>
        <v>5000</v>
      </c>
      <c r="I44" s="31">
        <f>SUMIFS(지출기록_2월!$H$3:$H$312,지출기록_2월!$E$3:$E$312,B44,지출기록_2월!$F$3:$F$312,참조!$F$2)</f>
        <v>0</v>
      </c>
      <c r="J44" s="31">
        <f>SUMIFS(지출기록_2월!$H$3:$H$312,지출기록_2월!$E$3:$E$312,B44,지출기록_2월!$F$3:$F$312,참조!$F$3)</f>
        <v>0</v>
      </c>
      <c r="K44" s="31">
        <f t="shared" si="9"/>
        <v>0</v>
      </c>
      <c r="L44" s="31">
        <f t="shared" ca="1" si="5"/>
        <v>0</v>
      </c>
      <c r="M44" s="31">
        <f t="shared" si="6"/>
        <v>5000</v>
      </c>
    </row>
    <row r="45" spans="2:13" x14ac:dyDescent="0.3">
      <c r="B45" s="5">
        <f t="shared" si="3"/>
        <v>46061</v>
      </c>
      <c r="C45" s="3">
        <v>2</v>
      </c>
      <c r="D45" s="3">
        <v>8</v>
      </c>
      <c r="E45" s="3">
        <f t="shared" si="2"/>
        <v>1</v>
      </c>
      <c r="F45" s="4" t="str">
        <f>IF($E45=참조!$B$2,참조!$C$2,IF($E45=참조!$B$3,참조!$C$3,IF($E45=참조!$B$4,참조!$C$4,IF($E45=참조!$B$5,참조!$C$5,IF($E45=참조!$B$6,참조!$C$6,IF($E45=참조!$B$7,참조!$C$7,IF($E45=참조!$B$8,참조!$C$8,"")))))))</f>
        <v>日</v>
      </c>
      <c r="G45" s="4" t="str">
        <f>IF($F45=참조!$C$2,참조!$D$2,IF($F45=참조!$C$8,참조!$D$2,IF(COUNTIF('2026년휴일'!$B:$B,$B45)&gt;0,참조!$D$2,참조!$D$3)))</f>
        <v>休</v>
      </c>
      <c r="H45" s="31">
        <f>IF($G45=참조!$D$3,참조!$E$3,참조!$E$2)</f>
        <v>5000</v>
      </c>
      <c r="I45" s="31">
        <f>SUMIFS(지출기록_2월!$H$3:$H$312,지출기록_2월!$E$3:$E$312,B45,지출기록_2월!$F$3:$F$312,참조!$F$2)</f>
        <v>0</v>
      </c>
      <c r="J45" s="31">
        <f>SUMIFS(지출기록_2월!$H$3:$H$312,지출기록_2월!$E$3:$E$312,B45,지출기록_2월!$F$3:$F$312,참조!$F$3)</f>
        <v>0</v>
      </c>
      <c r="K45" s="31">
        <f t="shared" si="9"/>
        <v>0</v>
      </c>
      <c r="L45" s="31">
        <f t="shared" ca="1" si="5"/>
        <v>0</v>
      </c>
      <c r="M45" s="31">
        <f t="shared" si="6"/>
        <v>5000</v>
      </c>
    </row>
    <row r="46" spans="2:13" x14ac:dyDescent="0.3">
      <c r="B46" s="5">
        <f t="shared" si="3"/>
        <v>46062</v>
      </c>
      <c r="C46" s="3">
        <v>2</v>
      </c>
      <c r="D46" s="3">
        <v>9</v>
      </c>
      <c r="E46" s="3">
        <f t="shared" si="2"/>
        <v>2</v>
      </c>
      <c r="F46" s="4" t="str">
        <f>IF($E46=참조!$B$2,참조!$C$2,IF($E46=참조!$B$3,참조!$C$3,IF($E46=참조!$B$4,참조!$C$4,IF($E46=참조!$B$5,참조!$C$5,IF($E46=참조!$B$6,참조!$C$6,IF($E46=참조!$B$7,참조!$C$7,IF($E46=참조!$B$8,참조!$C$8,"")))))))</f>
        <v>月</v>
      </c>
      <c r="G46" s="4" t="str">
        <f>IF($F46=참조!$C$2,참조!$D$2,IF($F46=참조!$C$8,참조!$D$2,IF(COUNTIF('2026년휴일'!$B:$B,$B46)&gt;0,참조!$D$2,참조!$D$3)))</f>
        <v>勤</v>
      </c>
      <c r="H46" s="31">
        <f>IF($G46=참조!$D$3,참조!$E$3,참조!$E$2)</f>
        <v>1000</v>
      </c>
      <c r="I46" s="31">
        <f>SUMIFS(지출기록_2월!$H$3:$H$312,지출기록_2월!$E$3:$E$312,B46,지출기록_2월!$F$3:$F$312,참조!$F$2)</f>
        <v>0</v>
      </c>
      <c r="J46" s="31">
        <f>SUMIFS(지출기록_2월!$H$3:$H$312,지출기록_2월!$E$3:$E$312,B46,지출기록_2월!$F$3:$F$312,참조!$F$3)</f>
        <v>0</v>
      </c>
      <c r="K46" s="31">
        <f t="shared" si="9"/>
        <v>0</v>
      </c>
      <c r="L46" s="31">
        <f t="shared" ca="1" si="5"/>
        <v>0</v>
      </c>
      <c r="M46" s="31">
        <f t="shared" si="6"/>
        <v>1000</v>
      </c>
    </row>
    <row r="47" spans="2:13" x14ac:dyDescent="0.3">
      <c r="B47" s="5">
        <f t="shared" si="3"/>
        <v>46063</v>
      </c>
      <c r="C47" s="3">
        <v>2</v>
      </c>
      <c r="D47" s="3">
        <v>10</v>
      </c>
      <c r="E47" s="3">
        <f t="shared" si="2"/>
        <v>3</v>
      </c>
      <c r="F47" s="4" t="str">
        <f>IF($E47=참조!$B$2,참조!$C$2,IF($E47=참조!$B$3,참조!$C$3,IF($E47=참조!$B$4,참조!$C$4,IF($E47=참조!$B$5,참조!$C$5,IF($E47=참조!$B$6,참조!$C$6,IF($E47=참조!$B$7,참조!$C$7,IF($E47=참조!$B$8,참조!$C$8,"")))))))</f>
        <v>火</v>
      </c>
      <c r="G47" s="4" t="str">
        <f>IF($F47=참조!$C$2,참조!$D$2,IF($F47=참조!$C$8,참조!$D$2,IF(COUNTIF('2026년휴일'!$B:$B,$B47)&gt;0,참조!$D$2,참조!$D$3)))</f>
        <v>勤</v>
      </c>
      <c r="H47" s="31">
        <f>IF($G47=참조!$D$3,참조!$E$3,참조!$E$2)</f>
        <v>1000</v>
      </c>
      <c r="I47" s="31">
        <f>SUMIFS(지출기록_2월!$H$3:$H$312,지출기록_2월!$E$3:$E$312,B47,지출기록_2월!$F$3:$F$312,참조!$F$2)</f>
        <v>0</v>
      </c>
      <c r="J47" s="31">
        <f>SUMIFS(지출기록_2월!$H$3:$H$312,지출기록_2월!$E$3:$E$312,B47,지출기록_2월!$F$3:$F$312,참조!$F$3)</f>
        <v>0</v>
      </c>
      <c r="K47" s="31">
        <f t="shared" si="9"/>
        <v>0</v>
      </c>
      <c r="L47" s="31">
        <f t="shared" ca="1" si="5"/>
        <v>0</v>
      </c>
      <c r="M47" s="31">
        <f t="shared" si="6"/>
        <v>1000</v>
      </c>
    </row>
    <row r="48" spans="2:13" x14ac:dyDescent="0.3">
      <c r="B48" s="5">
        <f t="shared" si="3"/>
        <v>46064</v>
      </c>
      <c r="C48" s="3">
        <v>2</v>
      </c>
      <c r="D48" s="3">
        <v>11</v>
      </c>
      <c r="E48" s="3">
        <f t="shared" si="2"/>
        <v>4</v>
      </c>
      <c r="F48" s="4" t="str">
        <f>IF($E48=참조!$B$2,참조!$C$2,IF($E48=참조!$B$3,참조!$C$3,IF($E48=참조!$B$4,참조!$C$4,IF($E48=참조!$B$5,참조!$C$5,IF($E48=참조!$B$6,참조!$C$6,IF($E48=참조!$B$7,참조!$C$7,IF($E48=참조!$B$8,참조!$C$8,"")))))))</f>
        <v>水</v>
      </c>
      <c r="G48" s="4" t="str">
        <f>IF($F48=참조!$C$2,참조!$D$2,IF($F48=참조!$C$8,참조!$D$2,IF(COUNTIF('2026년휴일'!$B:$B,$B48)&gt;0,참조!$D$2,참조!$D$3)))</f>
        <v>休</v>
      </c>
      <c r="H48" s="31">
        <f>IF($G48=참조!$D$3,참조!$E$3,참조!$E$2)</f>
        <v>5000</v>
      </c>
      <c r="I48" s="31">
        <f>SUMIFS(지출기록_2월!$H$3:$H$312,지출기록_2월!$E$3:$E$312,B48,지출기록_2월!$F$3:$F$312,참조!$F$2)</f>
        <v>0</v>
      </c>
      <c r="J48" s="31">
        <f>SUMIFS(지출기록_2월!$H$3:$H$312,지출기록_2월!$E$3:$E$312,B48,지출기록_2월!$F$3:$F$312,참조!$F$3)</f>
        <v>0</v>
      </c>
      <c r="K48" s="31">
        <f t="shared" si="9"/>
        <v>0</v>
      </c>
      <c r="L48" s="31">
        <f t="shared" ca="1" si="5"/>
        <v>0</v>
      </c>
      <c r="M48" s="31">
        <f t="shared" si="6"/>
        <v>5000</v>
      </c>
    </row>
    <row r="49" spans="2:13" x14ac:dyDescent="0.3">
      <c r="B49" s="5">
        <f t="shared" si="3"/>
        <v>46065</v>
      </c>
      <c r="C49" s="3">
        <v>2</v>
      </c>
      <c r="D49" s="3">
        <v>12</v>
      </c>
      <c r="E49" s="3">
        <f t="shared" si="2"/>
        <v>5</v>
      </c>
      <c r="F49" s="4" t="str">
        <f>IF($E49=참조!$B$2,참조!$C$2,IF($E49=참조!$B$3,참조!$C$3,IF($E49=참조!$B$4,참조!$C$4,IF($E49=참조!$B$5,참조!$C$5,IF($E49=참조!$B$6,참조!$C$6,IF($E49=참조!$B$7,참조!$C$7,IF($E49=참조!$B$8,참조!$C$8,"")))))))</f>
        <v>木</v>
      </c>
      <c r="G49" s="4" t="str">
        <f>IF($F49=참조!$C$2,참조!$D$2,IF($F49=참조!$C$8,참조!$D$2,IF(COUNTIF('2026년휴일'!$B:$B,$B49)&gt;0,참조!$D$2,참조!$D$3)))</f>
        <v>勤</v>
      </c>
      <c r="H49" s="31">
        <f>IF($G49=참조!$D$3,참조!$E$3,참조!$E$2)</f>
        <v>1000</v>
      </c>
      <c r="I49" s="31">
        <f>SUMIFS(지출기록_2월!$H$3:$H$312,지출기록_2월!$E$3:$E$312,B49,지출기록_2월!$F$3:$F$312,참조!$F$2)</f>
        <v>0</v>
      </c>
      <c r="J49" s="31">
        <f>SUMIFS(지출기록_2월!$H$3:$H$312,지출기록_2월!$E$3:$E$312,B49,지출기록_2월!$F$3:$F$312,참조!$F$3)</f>
        <v>0</v>
      </c>
      <c r="K49" s="31">
        <f t="shared" si="9"/>
        <v>0</v>
      </c>
      <c r="L49" s="31">
        <f t="shared" ca="1" si="5"/>
        <v>0</v>
      </c>
      <c r="M49" s="31">
        <f t="shared" si="6"/>
        <v>1000</v>
      </c>
    </row>
    <row r="50" spans="2:13" x14ac:dyDescent="0.3">
      <c r="B50" s="5">
        <f t="shared" si="3"/>
        <v>46066</v>
      </c>
      <c r="C50" s="3">
        <v>2</v>
      </c>
      <c r="D50" s="3">
        <v>13</v>
      </c>
      <c r="E50" s="3">
        <f t="shared" si="2"/>
        <v>6</v>
      </c>
      <c r="F50" s="4" t="str">
        <f>IF($E50=참조!$B$2,참조!$C$2,IF($E50=참조!$B$3,참조!$C$3,IF($E50=참조!$B$4,참조!$C$4,IF($E50=참조!$B$5,참조!$C$5,IF($E50=참조!$B$6,참조!$C$6,IF($E50=참조!$B$7,참조!$C$7,IF($E50=참조!$B$8,참조!$C$8,"")))))))</f>
        <v>金</v>
      </c>
      <c r="G50" s="4" t="str">
        <f>IF($F50=참조!$C$2,참조!$D$2,IF($F50=참조!$C$8,참조!$D$2,IF(COUNTIF('2026년휴일'!$B:$B,$B50)&gt;0,참조!$D$2,참조!$D$3)))</f>
        <v>勤</v>
      </c>
      <c r="H50" s="31">
        <f>IF($G50=참조!$D$3,참조!$E$3,참조!$E$2)</f>
        <v>1000</v>
      </c>
      <c r="I50" s="31">
        <f>SUMIFS(지출기록_2월!$H$3:$H$312,지출기록_2월!$E$3:$E$312,B50,지출기록_2월!$F$3:$F$312,참조!$F$2)</f>
        <v>0</v>
      </c>
      <c r="J50" s="31">
        <f>SUMIFS(지출기록_2월!$H$3:$H$312,지출기록_2월!$E$3:$E$312,B50,지출기록_2월!$F$3:$F$312,참조!$F$3)</f>
        <v>0</v>
      </c>
      <c r="K50" s="31">
        <f t="shared" si="9"/>
        <v>0</v>
      </c>
      <c r="L50" s="31">
        <f t="shared" ca="1" si="5"/>
        <v>0</v>
      </c>
      <c r="M50" s="31">
        <f t="shared" si="6"/>
        <v>1000</v>
      </c>
    </row>
    <row r="51" spans="2:13" x14ac:dyDescent="0.3">
      <c r="B51" s="5">
        <f t="shared" si="3"/>
        <v>46067</v>
      </c>
      <c r="C51" s="3">
        <v>2</v>
      </c>
      <c r="D51" s="3">
        <v>14</v>
      </c>
      <c r="E51" s="3">
        <f t="shared" si="2"/>
        <v>7</v>
      </c>
      <c r="F51" s="4" t="str">
        <f>IF($E51=참조!$B$2,참조!$C$2,IF($E51=참조!$B$3,참조!$C$3,IF($E51=참조!$B$4,참조!$C$4,IF($E51=참조!$B$5,참조!$C$5,IF($E51=참조!$B$6,참조!$C$6,IF($E51=참조!$B$7,참조!$C$7,IF($E51=참조!$B$8,참조!$C$8,"")))))))</f>
        <v>土</v>
      </c>
      <c r="G51" s="4" t="str">
        <f>IF($F51=참조!$C$2,참조!$D$2,IF($F51=참조!$C$8,참조!$D$2,IF(COUNTIF('2026년휴일'!$B:$B,$B51)&gt;0,참조!$D$2,참조!$D$3)))</f>
        <v>休</v>
      </c>
      <c r="H51" s="31">
        <f>IF($G51=참조!$D$3,참조!$E$3,참조!$E$2)</f>
        <v>5000</v>
      </c>
      <c r="I51" s="31">
        <f>SUMIFS(지출기록_2월!$H$3:$H$312,지출기록_2월!$E$3:$E$312,B51,지출기록_2월!$F$3:$F$312,참조!$F$2)</f>
        <v>0</v>
      </c>
      <c r="J51" s="31">
        <f>SUMIFS(지출기록_2월!$H$3:$H$312,지출기록_2월!$E$3:$E$312,B51,지출기록_2월!$F$3:$F$312,참조!$F$3)</f>
        <v>0</v>
      </c>
      <c r="K51" s="31">
        <f t="shared" si="9"/>
        <v>0</v>
      </c>
      <c r="L51" s="31">
        <f t="shared" ca="1" si="5"/>
        <v>0</v>
      </c>
      <c r="M51" s="31">
        <f t="shared" si="6"/>
        <v>5000</v>
      </c>
    </row>
    <row r="52" spans="2:13" x14ac:dyDescent="0.3">
      <c r="B52" s="5">
        <f t="shared" si="3"/>
        <v>46068</v>
      </c>
      <c r="C52" s="3">
        <v>2</v>
      </c>
      <c r="D52" s="3">
        <v>15</v>
      </c>
      <c r="E52" s="3">
        <f t="shared" si="2"/>
        <v>1</v>
      </c>
      <c r="F52" s="4" t="str">
        <f>IF($E52=참조!$B$2,참조!$C$2,IF($E52=참조!$B$3,참조!$C$3,IF($E52=참조!$B$4,참조!$C$4,IF($E52=참조!$B$5,참조!$C$5,IF($E52=참조!$B$6,참조!$C$6,IF($E52=참조!$B$7,참조!$C$7,IF($E52=참조!$B$8,참조!$C$8,"")))))))</f>
        <v>日</v>
      </c>
      <c r="G52" s="4" t="str">
        <f>IF($F52=참조!$C$2,참조!$D$2,IF($F52=참조!$C$8,참조!$D$2,IF(COUNTIF('2026년휴일'!$B:$B,$B52)&gt;0,참조!$D$2,참조!$D$3)))</f>
        <v>休</v>
      </c>
      <c r="H52" s="31">
        <f>IF($G52=참조!$D$3,참조!$E$3,참조!$E$2)</f>
        <v>5000</v>
      </c>
      <c r="I52" s="31">
        <f>SUMIFS(지출기록_2월!$H$3:$H$312,지출기록_2월!$E$3:$E$312,B52,지출기록_2월!$F$3:$F$312,참조!$F$2)</f>
        <v>0</v>
      </c>
      <c r="J52" s="31">
        <f>SUMIFS(지출기록_2월!$H$3:$H$312,지출기록_2월!$E$3:$E$312,B52,지출기록_2월!$F$3:$F$312,참조!$F$3)</f>
        <v>0</v>
      </c>
      <c r="K52" s="31">
        <f t="shared" si="9"/>
        <v>0</v>
      </c>
      <c r="L52" s="31">
        <f t="shared" ca="1" si="5"/>
        <v>0</v>
      </c>
      <c r="M52" s="31">
        <f t="shared" si="6"/>
        <v>5000</v>
      </c>
    </row>
    <row r="53" spans="2:13" x14ac:dyDescent="0.3">
      <c r="B53" s="5">
        <f t="shared" si="3"/>
        <v>46069</v>
      </c>
      <c r="C53" s="3">
        <v>2</v>
      </c>
      <c r="D53" s="3">
        <v>16</v>
      </c>
      <c r="E53" s="3">
        <f t="shared" si="2"/>
        <v>2</v>
      </c>
      <c r="F53" s="4" t="str">
        <f>IF($E53=참조!$B$2,참조!$C$2,IF($E53=참조!$B$3,참조!$C$3,IF($E53=참조!$B$4,참조!$C$4,IF($E53=참조!$B$5,참조!$C$5,IF($E53=참조!$B$6,참조!$C$6,IF($E53=참조!$B$7,참조!$C$7,IF($E53=참조!$B$8,참조!$C$8,"")))))))</f>
        <v>月</v>
      </c>
      <c r="G53" s="4" t="str">
        <f>IF($F53=참조!$C$2,참조!$D$2,IF($F53=참조!$C$8,참조!$D$2,IF(COUNTIF('2026년휴일'!$B:$B,$B53)&gt;0,참조!$D$2,참조!$D$3)))</f>
        <v>勤</v>
      </c>
      <c r="H53" s="31">
        <f>IF($G53=참조!$D$3,참조!$E$3,참조!$E$2)</f>
        <v>1000</v>
      </c>
      <c r="I53" s="31">
        <f>SUMIFS(지출기록_2월!$H$3:$H$312,지출기록_2월!$E$3:$E$312,B53,지출기록_2월!$F$3:$F$312,참조!$F$2)</f>
        <v>0</v>
      </c>
      <c r="J53" s="31">
        <f>SUMIFS(지출기록_2월!$H$3:$H$312,지출기록_2월!$E$3:$E$312,B53,지출기록_2월!$F$3:$F$312,참조!$F$3)</f>
        <v>0</v>
      </c>
      <c r="K53" s="31">
        <f t="shared" si="9"/>
        <v>0</v>
      </c>
      <c r="L53" s="31">
        <f t="shared" ca="1" si="5"/>
        <v>0</v>
      </c>
      <c r="M53" s="31">
        <f t="shared" si="6"/>
        <v>1000</v>
      </c>
    </row>
    <row r="54" spans="2:13" x14ac:dyDescent="0.3">
      <c r="B54" s="5">
        <f t="shared" si="3"/>
        <v>46070</v>
      </c>
      <c r="C54" s="3">
        <v>2</v>
      </c>
      <c r="D54" s="3">
        <v>17</v>
      </c>
      <c r="E54" s="3">
        <f t="shared" si="2"/>
        <v>3</v>
      </c>
      <c r="F54" s="4" t="str">
        <f>IF($E54=참조!$B$2,참조!$C$2,IF($E54=참조!$B$3,참조!$C$3,IF($E54=참조!$B$4,참조!$C$4,IF($E54=참조!$B$5,참조!$C$5,IF($E54=참조!$B$6,참조!$C$6,IF($E54=참조!$B$7,참조!$C$7,IF($E54=참조!$B$8,참조!$C$8,"")))))))</f>
        <v>火</v>
      </c>
      <c r="G54" s="4" t="str">
        <f>IF($F54=참조!$C$2,참조!$D$2,IF($F54=참조!$C$8,참조!$D$2,IF(COUNTIF('2026년휴일'!$B:$B,$B54)&gt;0,참조!$D$2,참조!$D$3)))</f>
        <v>勤</v>
      </c>
      <c r="H54" s="31">
        <f>IF($G54=참조!$D$3,참조!$E$3,참조!$E$2)</f>
        <v>1000</v>
      </c>
      <c r="I54" s="31">
        <f>SUMIFS(지출기록_2월!$H$3:$H$312,지출기록_2월!$E$3:$E$312,B54,지출기록_2월!$F$3:$F$312,참조!$F$2)</f>
        <v>0</v>
      </c>
      <c r="J54" s="31">
        <f>SUMIFS(지출기록_2월!$H$3:$H$312,지출기록_2월!$E$3:$E$312,B54,지출기록_2월!$F$3:$F$312,참조!$F$3)</f>
        <v>0</v>
      </c>
      <c r="K54" s="31">
        <f t="shared" si="9"/>
        <v>0</v>
      </c>
      <c r="L54" s="31">
        <f t="shared" ca="1" si="5"/>
        <v>0</v>
      </c>
      <c r="M54" s="31">
        <f t="shared" si="6"/>
        <v>1000</v>
      </c>
    </row>
    <row r="55" spans="2:13" x14ac:dyDescent="0.3">
      <c r="B55" s="5">
        <f t="shared" si="3"/>
        <v>46071</v>
      </c>
      <c r="C55" s="3">
        <v>2</v>
      </c>
      <c r="D55" s="3">
        <v>18</v>
      </c>
      <c r="E55" s="3">
        <f t="shared" si="2"/>
        <v>4</v>
      </c>
      <c r="F55" s="4" t="str">
        <f>IF($E55=참조!$B$2,참조!$C$2,IF($E55=참조!$B$3,참조!$C$3,IF($E55=참조!$B$4,참조!$C$4,IF($E55=참조!$B$5,참조!$C$5,IF($E55=참조!$B$6,참조!$C$6,IF($E55=참조!$B$7,참조!$C$7,IF($E55=참조!$B$8,참조!$C$8,"")))))))</f>
        <v>水</v>
      </c>
      <c r="G55" s="4" t="str">
        <f>IF($F55=참조!$C$2,참조!$D$2,IF($F55=참조!$C$8,참조!$D$2,IF(COUNTIF('2026년휴일'!$B:$B,$B55)&gt;0,참조!$D$2,참조!$D$3)))</f>
        <v>勤</v>
      </c>
      <c r="H55" s="31">
        <f>IF($G55=참조!$D$3,참조!$E$3,참조!$E$2)</f>
        <v>1000</v>
      </c>
      <c r="I55" s="31">
        <f>SUMIFS(지출기록_2월!$H$3:$H$312,지출기록_2월!$E$3:$E$312,B55,지출기록_2월!$F$3:$F$312,참조!$F$2)</f>
        <v>0</v>
      </c>
      <c r="J55" s="31">
        <f>SUMIFS(지출기록_2월!$H$3:$H$312,지출기록_2월!$E$3:$E$312,B55,지출기록_2월!$F$3:$F$312,참조!$F$3)</f>
        <v>0</v>
      </c>
      <c r="K55" s="31">
        <f t="shared" si="9"/>
        <v>0</v>
      </c>
      <c r="L55" s="31">
        <f t="shared" ca="1" si="5"/>
        <v>0</v>
      </c>
      <c r="M55" s="31">
        <f t="shared" si="6"/>
        <v>1000</v>
      </c>
    </row>
    <row r="56" spans="2:13" x14ac:dyDescent="0.3">
      <c r="B56" s="5">
        <f t="shared" si="3"/>
        <v>46072</v>
      </c>
      <c r="C56" s="3">
        <v>2</v>
      </c>
      <c r="D56" s="3">
        <v>19</v>
      </c>
      <c r="E56" s="3">
        <f t="shared" si="2"/>
        <v>5</v>
      </c>
      <c r="F56" s="4" t="str">
        <f>IF($E56=참조!$B$2,참조!$C$2,IF($E56=참조!$B$3,참조!$C$3,IF($E56=참조!$B$4,참조!$C$4,IF($E56=참조!$B$5,참조!$C$5,IF($E56=참조!$B$6,참조!$C$6,IF($E56=참조!$B$7,참조!$C$7,IF($E56=참조!$B$8,참조!$C$8,"")))))))</f>
        <v>木</v>
      </c>
      <c r="G56" s="4" t="str">
        <f>IF($F56=참조!$C$2,참조!$D$2,IF($F56=참조!$C$8,참조!$D$2,IF(COUNTIF('2026년휴일'!$B:$B,$B56)&gt;0,참조!$D$2,참조!$D$3)))</f>
        <v>勤</v>
      </c>
      <c r="H56" s="31">
        <f>IF($G56=참조!$D$3,참조!$E$3,참조!$E$2)</f>
        <v>1000</v>
      </c>
      <c r="I56" s="31">
        <f>SUMIFS(지출기록_2월!$H$3:$H$312,지출기록_2월!$E$3:$E$312,B56,지출기록_2월!$F$3:$F$312,참조!$F$2)</f>
        <v>0</v>
      </c>
      <c r="J56" s="31">
        <f>SUMIFS(지출기록_2월!$H$3:$H$312,지출기록_2월!$E$3:$E$312,B56,지출기록_2월!$F$3:$F$312,참조!$F$3)</f>
        <v>0</v>
      </c>
      <c r="K56" s="31">
        <f t="shared" si="9"/>
        <v>0</v>
      </c>
      <c r="L56" s="31">
        <f t="shared" ca="1" si="5"/>
        <v>0</v>
      </c>
      <c r="M56" s="31">
        <f t="shared" si="6"/>
        <v>1000</v>
      </c>
    </row>
    <row r="57" spans="2:13" x14ac:dyDescent="0.3">
      <c r="B57" s="5">
        <f t="shared" si="3"/>
        <v>46073</v>
      </c>
      <c r="C57" s="3">
        <v>2</v>
      </c>
      <c r="D57" s="3">
        <v>20</v>
      </c>
      <c r="E57" s="3">
        <f t="shared" si="2"/>
        <v>6</v>
      </c>
      <c r="F57" s="4" t="str">
        <f>IF($E57=참조!$B$2,참조!$C$2,IF($E57=참조!$B$3,참조!$C$3,IF($E57=참조!$B$4,참조!$C$4,IF($E57=참조!$B$5,참조!$C$5,IF($E57=참조!$B$6,참조!$C$6,IF($E57=참조!$B$7,참조!$C$7,IF($E57=참조!$B$8,참조!$C$8,"")))))))</f>
        <v>金</v>
      </c>
      <c r="G57" s="4" t="str">
        <f>IF($F57=참조!$C$2,참조!$D$2,IF($F57=참조!$C$8,참조!$D$2,IF(COUNTIF('2026년휴일'!$B:$B,$B57)&gt;0,참조!$D$2,참조!$D$3)))</f>
        <v>勤</v>
      </c>
      <c r="H57" s="31">
        <f>IF($G57=참조!$D$3,참조!$E$3,참조!$E$2)</f>
        <v>1000</v>
      </c>
      <c r="I57" s="31">
        <f>SUMIFS(지출기록_2월!$H$3:$H$312,지출기록_2월!$E$3:$E$312,B57,지출기록_2월!$F$3:$F$312,참조!$F$2)</f>
        <v>0</v>
      </c>
      <c r="J57" s="31">
        <f>SUMIFS(지출기록_2월!$H$3:$H$312,지출기록_2월!$E$3:$E$312,B57,지출기록_2월!$F$3:$F$312,참조!$F$3)</f>
        <v>0</v>
      </c>
      <c r="K57" s="31">
        <f t="shared" si="9"/>
        <v>0</v>
      </c>
      <c r="L57" s="31">
        <f t="shared" ca="1" si="5"/>
        <v>0</v>
      </c>
      <c r="M57" s="31">
        <f t="shared" si="6"/>
        <v>1000</v>
      </c>
    </row>
    <row r="58" spans="2:13" x14ac:dyDescent="0.3">
      <c r="B58" s="5">
        <f t="shared" si="3"/>
        <v>46074</v>
      </c>
      <c r="C58" s="3">
        <v>2</v>
      </c>
      <c r="D58" s="3">
        <v>21</v>
      </c>
      <c r="E58" s="3">
        <f t="shared" si="2"/>
        <v>7</v>
      </c>
      <c r="F58" s="4" t="str">
        <f>IF($E58=참조!$B$2,참조!$C$2,IF($E58=참조!$B$3,참조!$C$3,IF($E58=참조!$B$4,참조!$C$4,IF($E58=참조!$B$5,참조!$C$5,IF($E58=참조!$B$6,참조!$C$6,IF($E58=참조!$B$7,참조!$C$7,IF($E58=참조!$B$8,참조!$C$8,"")))))))</f>
        <v>土</v>
      </c>
      <c r="G58" s="4" t="str">
        <f>IF($F58=참조!$C$2,참조!$D$2,IF($F58=참조!$C$8,참조!$D$2,IF(COUNTIF('2026년휴일'!$B:$B,$B58)&gt;0,참조!$D$2,참조!$D$3)))</f>
        <v>休</v>
      </c>
      <c r="H58" s="31">
        <f>IF($G58=참조!$D$3,참조!$E$3,참조!$E$2)</f>
        <v>5000</v>
      </c>
      <c r="I58" s="31">
        <f>SUMIFS(지출기록_2월!$H$3:$H$312,지출기록_2월!$E$3:$E$312,B58,지출기록_2월!$F$3:$F$312,참조!$F$2)</f>
        <v>0</v>
      </c>
      <c r="J58" s="31">
        <f>SUMIFS(지출기록_2월!$H$3:$H$312,지출기록_2월!$E$3:$E$312,B58,지출기록_2월!$F$3:$F$312,참조!$F$3)</f>
        <v>0</v>
      </c>
      <c r="K58" s="31">
        <f t="shared" si="9"/>
        <v>0</v>
      </c>
      <c r="L58" s="31">
        <f t="shared" ca="1" si="5"/>
        <v>0</v>
      </c>
      <c r="M58" s="31">
        <f t="shared" si="6"/>
        <v>5000</v>
      </c>
    </row>
    <row r="59" spans="2:13" x14ac:dyDescent="0.3">
      <c r="B59" s="5">
        <f t="shared" si="3"/>
        <v>46075</v>
      </c>
      <c r="C59" s="3">
        <v>2</v>
      </c>
      <c r="D59" s="3">
        <v>22</v>
      </c>
      <c r="E59" s="3">
        <f t="shared" si="2"/>
        <v>1</v>
      </c>
      <c r="F59" s="4" t="str">
        <f>IF($E59=참조!$B$2,참조!$C$2,IF($E59=참조!$B$3,참조!$C$3,IF($E59=참조!$B$4,참조!$C$4,IF($E59=참조!$B$5,참조!$C$5,IF($E59=참조!$B$6,참조!$C$6,IF($E59=참조!$B$7,참조!$C$7,IF($E59=참조!$B$8,참조!$C$8,"")))))))</f>
        <v>日</v>
      </c>
      <c r="G59" s="4" t="str">
        <f>IF($F59=참조!$C$2,참조!$D$2,IF($F59=참조!$C$8,참조!$D$2,IF(COUNTIF('2026년휴일'!$B:$B,$B59)&gt;0,참조!$D$2,참조!$D$3)))</f>
        <v>休</v>
      </c>
      <c r="H59" s="31">
        <f>IF($G59=참조!$D$3,참조!$E$3,참조!$E$2)</f>
        <v>5000</v>
      </c>
      <c r="I59" s="31">
        <f>SUMIFS(지출기록_2월!$H$3:$H$312,지출기록_2월!$E$3:$E$312,B59,지출기록_2월!$F$3:$F$312,참조!$F$2)</f>
        <v>0</v>
      </c>
      <c r="J59" s="31">
        <f>SUMIFS(지출기록_2월!$H$3:$H$312,지출기록_2월!$E$3:$E$312,B59,지출기록_2월!$F$3:$F$312,참조!$F$3)</f>
        <v>0</v>
      </c>
      <c r="K59" s="31">
        <f t="shared" si="9"/>
        <v>0</v>
      </c>
      <c r="L59" s="31">
        <f t="shared" ca="1" si="5"/>
        <v>0</v>
      </c>
      <c r="M59" s="31">
        <f t="shared" si="6"/>
        <v>5000</v>
      </c>
    </row>
    <row r="60" spans="2:13" x14ac:dyDescent="0.3">
      <c r="B60" s="5">
        <f t="shared" si="3"/>
        <v>46076</v>
      </c>
      <c r="C60" s="3">
        <v>2</v>
      </c>
      <c r="D60" s="3">
        <v>23</v>
      </c>
      <c r="E60" s="3">
        <f t="shared" si="2"/>
        <v>2</v>
      </c>
      <c r="F60" s="4" t="str">
        <f>IF($E60=참조!$B$2,참조!$C$2,IF($E60=참조!$B$3,참조!$C$3,IF($E60=참조!$B$4,참조!$C$4,IF($E60=참조!$B$5,참조!$C$5,IF($E60=참조!$B$6,참조!$C$6,IF($E60=참조!$B$7,참조!$C$7,IF($E60=참조!$B$8,참조!$C$8,"")))))))</f>
        <v>月</v>
      </c>
      <c r="G60" s="4" t="str">
        <f>IF($F60=참조!$C$2,참조!$D$2,IF($F60=참조!$C$8,참조!$D$2,IF(COUNTIF('2026년휴일'!$B:$B,$B60)&gt;0,참조!$D$2,참조!$D$3)))</f>
        <v>休</v>
      </c>
      <c r="H60" s="31">
        <f>IF($G60=참조!$D$3,참조!$E$3,참조!$E$2)</f>
        <v>5000</v>
      </c>
      <c r="I60" s="31">
        <f>SUMIFS(지출기록_2월!$H$3:$H$312,지출기록_2월!$E$3:$E$312,B60,지출기록_2월!$F$3:$F$312,참조!$F$2)</f>
        <v>0</v>
      </c>
      <c r="J60" s="31">
        <f>SUMIFS(지출기록_2월!$H$3:$H$312,지출기록_2월!$E$3:$E$312,B60,지출기록_2월!$F$3:$F$312,참조!$F$3)</f>
        <v>0</v>
      </c>
      <c r="K60" s="31">
        <f t="shared" si="9"/>
        <v>0</v>
      </c>
      <c r="L60" s="31">
        <f t="shared" ca="1" si="5"/>
        <v>0</v>
      </c>
      <c r="M60" s="31">
        <f t="shared" si="6"/>
        <v>5000</v>
      </c>
    </row>
    <row r="61" spans="2:13" x14ac:dyDescent="0.3">
      <c r="B61" s="5">
        <f t="shared" si="3"/>
        <v>46077</v>
      </c>
      <c r="C61" s="3">
        <v>2</v>
      </c>
      <c r="D61" s="3">
        <v>24</v>
      </c>
      <c r="E61" s="3">
        <f t="shared" si="2"/>
        <v>3</v>
      </c>
      <c r="F61" s="4" t="str">
        <f>IF($E61=참조!$B$2,참조!$C$2,IF($E61=참조!$B$3,참조!$C$3,IF($E61=참조!$B$4,참조!$C$4,IF($E61=참조!$B$5,참조!$C$5,IF($E61=참조!$B$6,참조!$C$6,IF($E61=참조!$B$7,참조!$C$7,IF($E61=참조!$B$8,참조!$C$8,"")))))))</f>
        <v>火</v>
      </c>
      <c r="G61" s="4" t="str">
        <f>IF($F61=참조!$C$2,참조!$D$2,IF($F61=참조!$C$8,참조!$D$2,IF(COUNTIF('2026년휴일'!$B:$B,$B61)&gt;0,참조!$D$2,참조!$D$3)))</f>
        <v>勤</v>
      </c>
      <c r="H61" s="31">
        <f>IF($G61=참조!$D$3,참조!$E$3,참조!$E$2)</f>
        <v>1000</v>
      </c>
      <c r="I61" s="31">
        <f>SUMIFS(지출기록_2월!$H$3:$H$312,지출기록_2월!$E$3:$E$312,B61,지출기록_2월!$F$3:$F$312,참조!$F$2)</f>
        <v>0</v>
      </c>
      <c r="J61" s="31">
        <f>SUMIFS(지출기록_2월!$H$3:$H$312,지출기록_2월!$E$3:$E$312,B61,지출기록_2월!$F$3:$F$312,참조!$F$3)</f>
        <v>0</v>
      </c>
      <c r="K61" s="31">
        <f t="shared" si="9"/>
        <v>0</v>
      </c>
      <c r="L61" s="31">
        <f t="shared" ca="1" si="5"/>
        <v>0</v>
      </c>
      <c r="M61" s="31">
        <f t="shared" si="6"/>
        <v>1000</v>
      </c>
    </row>
    <row r="62" spans="2:13" x14ac:dyDescent="0.3">
      <c r="B62" s="5">
        <f t="shared" si="3"/>
        <v>46078</v>
      </c>
      <c r="C62" s="3">
        <v>2</v>
      </c>
      <c r="D62" s="3">
        <v>25</v>
      </c>
      <c r="E62" s="3">
        <f t="shared" si="2"/>
        <v>4</v>
      </c>
      <c r="F62" s="4" t="str">
        <f>IF($E62=참조!$B$2,참조!$C$2,IF($E62=참조!$B$3,참조!$C$3,IF($E62=참조!$B$4,참조!$C$4,IF($E62=참조!$B$5,참조!$C$5,IF($E62=참조!$B$6,참조!$C$6,IF($E62=참조!$B$7,참조!$C$7,IF($E62=참조!$B$8,참조!$C$8,"")))))))</f>
        <v>水</v>
      </c>
      <c r="G62" s="4" t="str">
        <f>IF($F62=참조!$C$2,참조!$D$2,IF($F62=참조!$C$8,참조!$D$2,IF(COUNTIF('2026년휴일'!$B:$B,$B62)&gt;0,참조!$D$2,참조!$D$3)))</f>
        <v>勤</v>
      </c>
      <c r="H62" s="31">
        <f>IF($G62=참조!$D$3,참조!$E$3,참조!$E$2)</f>
        <v>1000</v>
      </c>
      <c r="I62" s="31">
        <f>SUMIFS(지출기록_2월!$H$3:$H$312,지출기록_2월!$E$3:$E$312,B62,지출기록_2월!$F$3:$F$312,참조!$F$2)</f>
        <v>0</v>
      </c>
      <c r="J62" s="31">
        <f>SUMIFS(지출기록_2월!$H$3:$H$312,지출기록_2월!$E$3:$E$312,B62,지출기록_2월!$F$3:$F$312,참조!$F$3)</f>
        <v>0</v>
      </c>
      <c r="K62" s="31">
        <f t="shared" si="9"/>
        <v>0</v>
      </c>
      <c r="L62" s="31">
        <f t="shared" ca="1" si="5"/>
        <v>0</v>
      </c>
      <c r="M62" s="31">
        <f t="shared" si="6"/>
        <v>1000</v>
      </c>
    </row>
    <row r="63" spans="2:13" x14ac:dyDescent="0.3">
      <c r="B63" s="5">
        <f t="shared" si="3"/>
        <v>46079</v>
      </c>
      <c r="C63" s="3">
        <v>2</v>
      </c>
      <c r="D63" s="3">
        <v>26</v>
      </c>
      <c r="E63" s="3">
        <f t="shared" si="2"/>
        <v>5</v>
      </c>
      <c r="F63" s="4" t="str">
        <f>IF($E63=참조!$B$2,참조!$C$2,IF($E63=참조!$B$3,참조!$C$3,IF($E63=참조!$B$4,참조!$C$4,IF($E63=참조!$B$5,참조!$C$5,IF($E63=참조!$B$6,참조!$C$6,IF($E63=참조!$B$7,참조!$C$7,IF($E63=참조!$B$8,참조!$C$8,"")))))))</f>
        <v>木</v>
      </c>
      <c r="G63" s="4" t="str">
        <f>IF($F63=참조!$C$2,참조!$D$2,IF($F63=참조!$C$8,참조!$D$2,IF(COUNTIF('2026년휴일'!$B:$B,$B63)&gt;0,참조!$D$2,참조!$D$3)))</f>
        <v>勤</v>
      </c>
      <c r="H63" s="31">
        <f>IF($G63=참조!$D$3,참조!$E$3,참조!$E$2)</f>
        <v>1000</v>
      </c>
      <c r="I63" s="31">
        <f>SUMIFS(지출기록_2월!$H$3:$H$312,지출기록_2월!$E$3:$E$312,B63,지출기록_2월!$F$3:$F$312,참조!$F$2)</f>
        <v>0</v>
      </c>
      <c r="J63" s="31">
        <f>SUMIFS(지출기록_2월!$H$3:$H$312,지출기록_2월!$E$3:$E$312,B63,지출기록_2월!$F$3:$F$312,참조!$F$3)</f>
        <v>0</v>
      </c>
      <c r="K63" s="31">
        <f t="shared" si="9"/>
        <v>0</v>
      </c>
      <c r="L63" s="31">
        <f t="shared" ca="1" si="5"/>
        <v>0</v>
      </c>
      <c r="M63" s="31">
        <f t="shared" si="6"/>
        <v>1000</v>
      </c>
    </row>
    <row r="64" spans="2:13" x14ac:dyDescent="0.3">
      <c r="B64" s="5">
        <f t="shared" si="3"/>
        <v>46080</v>
      </c>
      <c r="C64" s="3">
        <v>2</v>
      </c>
      <c r="D64" s="3">
        <v>27</v>
      </c>
      <c r="E64" s="3">
        <f t="shared" si="2"/>
        <v>6</v>
      </c>
      <c r="F64" s="4" t="str">
        <f>IF($E64=참조!$B$2,참조!$C$2,IF($E64=참조!$B$3,참조!$C$3,IF($E64=참조!$B$4,참조!$C$4,IF($E64=참조!$B$5,참조!$C$5,IF($E64=참조!$B$6,참조!$C$6,IF($E64=참조!$B$7,참조!$C$7,IF($E64=참조!$B$8,참조!$C$8,"")))))))</f>
        <v>金</v>
      </c>
      <c r="G64" s="4" t="str">
        <f>IF($F64=참조!$C$2,참조!$D$2,IF($F64=참조!$C$8,참조!$D$2,IF(COUNTIF('2026년휴일'!$B:$B,$B64)&gt;0,참조!$D$2,참조!$D$3)))</f>
        <v>勤</v>
      </c>
      <c r="H64" s="31">
        <f>IF($G64=참조!$D$3,참조!$E$3,참조!$E$2)</f>
        <v>1000</v>
      </c>
      <c r="I64" s="31">
        <f>SUMIFS(지출기록_2월!$H$3:$H$312,지출기록_2월!$E$3:$E$312,B64,지출기록_2월!$F$3:$F$312,참조!$F$2)</f>
        <v>0</v>
      </c>
      <c r="J64" s="31">
        <f>SUMIFS(지출기록_2월!$H$3:$H$312,지출기록_2월!$E$3:$E$312,B64,지출기록_2월!$F$3:$F$312,참조!$F$3)</f>
        <v>0</v>
      </c>
      <c r="K64" s="31">
        <f t="shared" ref="K64:K84" si="10">I64-J64</f>
        <v>0</v>
      </c>
      <c r="L64" s="31">
        <f t="shared" ca="1" si="5"/>
        <v>0</v>
      </c>
      <c r="M64" s="31">
        <f t="shared" si="6"/>
        <v>1000</v>
      </c>
    </row>
    <row r="65" spans="2:13" x14ac:dyDescent="0.3">
      <c r="B65" s="5">
        <f t="shared" si="3"/>
        <v>46081</v>
      </c>
      <c r="C65" s="3">
        <v>2</v>
      </c>
      <c r="D65" s="3">
        <v>28</v>
      </c>
      <c r="E65" s="3">
        <f t="shared" si="2"/>
        <v>7</v>
      </c>
      <c r="F65" s="4" t="str">
        <f>IF($E65=참조!$B$2,참조!$C$2,IF($E65=참조!$B$3,참조!$C$3,IF($E65=참조!$B$4,참조!$C$4,IF($E65=참조!$B$5,참조!$C$5,IF($E65=참조!$B$6,참조!$C$6,IF($E65=참조!$B$7,참조!$C$7,IF($E65=참조!$B$8,참조!$C$8,"")))))))</f>
        <v>土</v>
      </c>
      <c r="G65" s="4" t="str">
        <f>IF($F65=참조!$C$2,참조!$D$2,IF($F65=참조!$C$8,참조!$D$2,IF(COUNTIF('2026년휴일'!$B:$B,$B65)&gt;0,참조!$D$2,참조!$D$3)))</f>
        <v>休</v>
      </c>
      <c r="H65" s="31">
        <f>IF($G65=참조!$D$3,참조!$E$3,참조!$E$2)</f>
        <v>5000</v>
      </c>
      <c r="I65" s="31">
        <f>SUMIFS(지출기록_2월!$H$3:$H$312,지출기록_2월!$E$3:$E$312,B65,지출기록_2월!$F$3:$F$312,참조!$F$2)</f>
        <v>0</v>
      </c>
      <c r="J65" s="31">
        <f>SUMIFS(지출기록_2월!$H$3:$H$312,지출기록_2월!$E$3:$E$312,B65,지출기록_2월!$F$3:$F$312,참조!$F$3)</f>
        <v>0</v>
      </c>
      <c r="K65" s="31">
        <f t="shared" si="10"/>
        <v>0</v>
      </c>
      <c r="L65" s="31">
        <f t="shared" ca="1" si="5"/>
        <v>0</v>
      </c>
      <c r="M65" s="31">
        <f t="shared" si="6"/>
        <v>5000</v>
      </c>
    </row>
    <row r="66" spans="2:13" x14ac:dyDescent="0.3">
      <c r="B66" s="5">
        <f t="shared" si="3"/>
        <v>46082</v>
      </c>
      <c r="C66" s="3">
        <v>3</v>
      </c>
      <c r="D66" s="3">
        <v>1</v>
      </c>
      <c r="E66" s="3">
        <f t="shared" si="2"/>
        <v>1</v>
      </c>
      <c r="F66" s="4" t="str">
        <f>IF($E66=참조!$B$2,참조!$C$2,IF($E66=참조!$B$3,참조!$C$3,IF($E66=참조!$B$4,참조!$C$4,IF($E66=참조!$B$5,참조!$C$5,IF($E66=참조!$B$6,참조!$C$6,IF($E66=참조!$B$7,참조!$C$7,IF($E66=참조!$B$8,참조!$C$8,"")))))))</f>
        <v>日</v>
      </c>
      <c r="G66" s="4" t="str">
        <f>IF($F66=참조!$C$2,참조!$D$2,IF($F66=참조!$C$8,참조!$D$2,IF(COUNTIF('2026년휴일'!$B:$B,$B66)&gt;0,참조!$D$2,참조!$D$3)))</f>
        <v>休</v>
      </c>
      <c r="H66" s="31">
        <f>IF($G66=참조!$D$3,참조!$E$3,참조!$E$2)</f>
        <v>5000</v>
      </c>
      <c r="I66" s="31">
        <f>SUMIFS(지출기록_3월!$H$3:$H$312,지출기록_3월!$E$3:$E$312,B66,지출기록_3월!$F$3:$F$312,참조!$F$2)</f>
        <v>0</v>
      </c>
      <c r="J66" s="31">
        <f>SUMIFS(지출기록_3월!$H$3:$H$312,지출기록_3월!$E$3:$E$312,B66,지출기록_3월!$F$3:$F$312,참조!$F$3)</f>
        <v>0</v>
      </c>
      <c r="K66" s="31">
        <f t="shared" si="10"/>
        <v>0</v>
      </c>
      <c r="L66" s="31">
        <f t="shared" ca="1" si="5"/>
        <v>0</v>
      </c>
      <c r="M66" s="31">
        <f t="shared" si="6"/>
        <v>5000</v>
      </c>
    </row>
    <row r="67" spans="2:13" x14ac:dyDescent="0.3">
      <c r="B67" s="5">
        <f t="shared" si="3"/>
        <v>46083</v>
      </c>
      <c r="C67" s="3">
        <v>3</v>
      </c>
      <c r="D67" s="3">
        <v>2</v>
      </c>
      <c r="E67" s="3">
        <f t="shared" si="2"/>
        <v>2</v>
      </c>
      <c r="F67" s="4" t="str">
        <f>IF($E67=참조!$B$2,참조!$C$2,IF($E67=참조!$B$3,참조!$C$3,IF($E67=참조!$B$4,참조!$C$4,IF($E67=참조!$B$5,참조!$C$5,IF($E67=참조!$B$6,참조!$C$6,IF($E67=참조!$B$7,참조!$C$7,IF($E67=참조!$B$8,참조!$C$8,"")))))))</f>
        <v>月</v>
      </c>
      <c r="G67" s="4" t="str">
        <f>IF($F67=참조!$C$2,참조!$D$2,IF($F67=참조!$C$8,참조!$D$2,IF(COUNTIF('2026년휴일'!$B:$B,$B67)&gt;0,참조!$D$2,참조!$D$3)))</f>
        <v>勤</v>
      </c>
      <c r="H67" s="31">
        <f>IF($G67=참조!$D$3,참조!$E$3,참조!$E$2)</f>
        <v>1000</v>
      </c>
      <c r="I67" s="31">
        <f>SUMIFS(지출기록_3월!$H$3:$H$312,지출기록_3월!$E$3:$E$312,B67,지출기록_3월!$F$3:$F$312,참조!$F$2)</f>
        <v>0</v>
      </c>
      <c r="J67" s="31">
        <f>SUMIFS(지출기록_3월!$H$3:$H$312,지출기록_3월!$E$3:$E$312,B67,지출기록_3월!$F$3:$F$312,참조!$F$3)</f>
        <v>0</v>
      </c>
      <c r="K67" s="31">
        <f t="shared" si="10"/>
        <v>0</v>
      </c>
      <c r="L67" s="31">
        <f t="shared" ca="1" si="5"/>
        <v>0</v>
      </c>
      <c r="M67" s="31">
        <f t="shared" si="6"/>
        <v>1000</v>
      </c>
    </row>
    <row r="68" spans="2:13" x14ac:dyDescent="0.3">
      <c r="B68" s="5">
        <f t="shared" si="3"/>
        <v>46084</v>
      </c>
      <c r="C68" s="3">
        <v>3</v>
      </c>
      <c r="D68" s="3">
        <v>3</v>
      </c>
      <c r="E68" s="3">
        <f t="shared" si="2"/>
        <v>3</v>
      </c>
      <c r="F68" s="4" t="str">
        <f>IF($E68=참조!$B$2,참조!$C$2,IF($E68=참조!$B$3,참조!$C$3,IF($E68=참조!$B$4,참조!$C$4,IF($E68=참조!$B$5,참조!$C$5,IF($E68=참조!$B$6,참조!$C$6,IF($E68=참조!$B$7,참조!$C$7,IF($E68=참조!$B$8,참조!$C$8,"")))))))</f>
        <v>火</v>
      </c>
      <c r="G68" s="4" t="str">
        <f>IF($F68=참조!$C$2,참조!$D$2,IF($F68=참조!$C$8,참조!$D$2,IF(COUNTIF('2026년휴일'!$B:$B,$B68)&gt;0,참조!$D$2,참조!$D$3)))</f>
        <v>勤</v>
      </c>
      <c r="H68" s="31">
        <f>IF($G68=참조!$D$3,참조!$E$3,참조!$E$2)</f>
        <v>1000</v>
      </c>
      <c r="I68" s="31">
        <f>SUMIFS(지출기록_3월!$H$3:$H$312,지출기록_3월!$E$3:$E$312,B68,지출기록_3월!$F$3:$F$312,참조!$F$2)</f>
        <v>0</v>
      </c>
      <c r="J68" s="31">
        <f>SUMIFS(지출기록_3월!$H$3:$H$312,지출기록_3월!$E$3:$E$312,B68,지출기록_3월!$F$3:$F$312,참조!$F$3)</f>
        <v>0</v>
      </c>
      <c r="K68" s="31">
        <f t="shared" si="10"/>
        <v>0</v>
      </c>
      <c r="L68" s="31">
        <f t="shared" ca="1" si="5"/>
        <v>0</v>
      </c>
      <c r="M68" s="31">
        <f t="shared" si="6"/>
        <v>1000</v>
      </c>
    </row>
    <row r="69" spans="2:13" x14ac:dyDescent="0.3">
      <c r="B69" s="5">
        <f t="shared" si="3"/>
        <v>46085</v>
      </c>
      <c r="C69" s="3">
        <v>3</v>
      </c>
      <c r="D69" s="3">
        <v>4</v>
      </c>
      <c r="E69" s="3">
        <f t="shared" si="2"/>
        <v>4</v>
      </c>
      <c r="F69" s="4" t="str">
        <f>IF($E69=참조!$B$2,참조!$C$2,IF($E69=참조!$B$3,참조!$C$3,IF($E69=참조!$B$4,참조!$C$4,IF($E69=참조!$B$5,참조!$C$5,IF($E69=참조!$B$6,참조!$C$6,IF($E69=참조!$B$7,참조!$C$7,IF($E69=참조!$B$8,참조!$C$8,"")))))))</f>
        <v>水</v>
      </c>
      <c r="G69" s="4" t="str">
        <f>IF($F69=참조!$C$2,참조!$D$2,IF($F69=참조!$C$8,참조!$D$2,IF(COUNTIF('2026년휴일'!$B:$B,$B69)&gt;0,참조!$D$2,참조!$D$3)))</f>
        <v>勤</v>
      </c>
      <c r="H69" s="31">
        <f>IF($G69=참조!$D$3,참조!$E$3,참조!$E$2)</f>
        <v>1000</v>
      </c>
      <c r="I69" s="31">
        <f>SUMIFS(지출기록_3월!$H$3:$H$312,지출기록_3월!$E$3:$E$312,B69,지출기록_3월!$F$3:$F$312,참조!$F$2)</f>
        <v>0</v>
      </c>
      <c r="J69" s="31">
        <f>SUMIFS(지출기록_3월!$H$3:$H$312,지출기록_3월!$E$3:$E$312,B69,지출기록_3월!$F$3:$F$312,참조!$F$3)</f>
        <v>0</v>
      </c>
      <c r="K69" s="31">
        <f t="shared" si="10"/>
        <v>0</v>
      </c>
      <c r="L69" s="31">
        <f t="shared" ca="1" si="5"/>
        <v>0</v>
      </c>
      <c r="M69" s="31">
        <f t="shared" si="6"/>
        <v>1000</v>
      </c>
    </row>
    <row r="70" spans="2:13" x14ac:dyDescent="0.3">
      <c r="B70" s="5">
        <f t="shared" si="3"/>
        <v>46086</v>
      </c>
      <c r="C70" s="3">
        <v>3</v>
      </c>
      <c r="D70" s="3">
        <v>5</v>
      </c>
      <c r="E70" s="3">
        <f t="shared" si="2"/>
        <v>5</v>
      </c>
      <c r="F70" s="4" t="str">
        <f>IF($E70=참조!$B$2,참조!$C$2,IF($E70=참조!$B$3,참조!$C$3,IF($E70=참조!$B$4,참조!$C$4,IF($E70=참조!$B$5,참조!$C$5,IF($E70=참조!$B$6,참조!$C$6,IF($E70=참조!$B$7,참조!$C$7,IF($E70=참조!$B$8,참조!$C$8,"")))))))</f>
        <v>木</v>
      </c>
      <c r="G70" s="4" t="str">
        <f>IF($F70=참조!$C$2,참조!$D$2,IF($F70=참조!$C$8,참조!$D$2,IF(COUNTIF('2026년휴일'!$B:$B,$B70)&gt;0,참조!$D$2,참조!$D$3)))</f>
        <v>勤</v>
      </c>
      <c r="H70" s="31">
        <f>IF($G70=참조!$D$3,참조!$E$3,참조!$E$2)</f>
        <v>1000</v>
      </c>
      <c r="I70" s="31">
        <f>SUMIFS(지출기록_3월!$H$3:$H$312,지출기록_3월!$E$3:$E$312,B70,지출기록_3월!$F$3:$F$312,참조!$F$2)</f>
        <v>0</v>
      </c>
      <c r="J70" s="31">
        <f>SUMIFS(지출기록_3월!$H$3:$H$312,지출기록_3월!$E$3:$E$312,B70,지출기록_3월!$F$3:$F$312,참조!$F$3)</f>
        <v>0</v>
      </c>
      <c r="K70" s="31">
        <f t="shared" si="10"/>
        <v>0</v>
      </c>
      <c r="L70" s="31">
        <f t="shared" ca="1" si="5"/>
        <v>0</v>
      </c>
      <c r="M70" s="31">
        <f t="shared" si="6"/>
        <v>1000</v>
      </c>
    </row>
    <row r="71" spans="2:13" x14ac:dyDescent="0.3">
      <c r="B71" s="5">
        <f t="shared" si="3"/>
        <v>46087</v>
      </c>
      <c r="C71" s="3">
        <v>3</v>
      </c>
      <c r="D71" s="3">
        <v>6</v>
      </c>
      <c r="E71" s="3">
        <f t="shared" ref="E71:E134" si="11">WEEKDAY(B71)</f>
        <v>6</v>
      </c>
      <c r="F71" s="4" t="str">
        <f>IF($E71=참조!$B$2,참조!$C$2,IF($E71=참조!$B$3,참조!$C$3,IF($E71=참조!$B$4,참조!$C$4,IF($E71=참조!$B$5,참조!$C$5,IF($E71=참조!$B$6,참조!$C$6,IF($E71=참조!$B$7,참조!$C$7,IF($E71=참조!$B$8,참조!$C$8,"")))))))</f>
        <v>金</v>
      </c>
      <c r="G71" s="4" t="str">
        <f>IF($F71=참조!$C$2,참조!$D$2,IF($F71=참조!$C$8,참조!$D$2,IF(COUNTIF('2026년휴일'!$B:$B,$B71)&gt;0,참조!$D$2,참조!$D$3)))</f>
        <v>勤</v>
      </c>
      <c r="H71" s="31">
        <f>IF($G71=참조!$D$3,참조!$E$3,참조!$E$2)</f>
        <v>1000</v>
      </c>
      <c r="I71" s="31">
        <f>SUMIFS(지출기록_3월!$H$3:$H$312,지출기록_3월!$E$3:$E$312,B71,지출기록_3월!$F$3:$F$312,참조!$F$2)</f>
        <v>0</v>
      </c>
      <c r="J71" s="31">
        <f>SUMIFS(지출기록_3월!$H$3:$H$312,지출기록_3월!$E$3:$E$312,B71,지출기록_3월!$F$3:$F$312,참조!$F$3)</f>
        <v>0</v>
      </c>
      <c r="K71" s="31">
        <f t="shared" si="10"/>
        <v>0</v>
      </c>
      <c r="L71" s="31">
        <f t="shared" ca="1" si="5"/>
        <v>0</v>
      </c>
      <c r="M71" s="31">
        <f t="shared" si="6"/>
        <v>1000</v>
      </c>
    </row>
    <row r="72" spans="2:13" x14ac:dyDescent="0.3">
      <c r="B72" s="5">
        <f t="shared" ref="B72:B135" si="12">DATE($A$1,C72,D72)</f>
        <v>46088</v>
      </c>
      <c r="C72" s="3">
        <v>3</v>
      </c>
      <c r="D72" s="3">
        <v>7</v>
      </c>
      <c r="E72" s="3">
        <f t="shared" si="11"/>
        <v>7</v>
      </c>
      <c r="F72" s="4" t="str">
        <f>IF($E72=참조!$B$2,참조!$C$2,IF($E72=참조!$B$3,참조!$C$3,IF($E72=참조!$B$4,참조!$C$4,IF($E72=참조!$B$5,참조!$C$5,IF($E72=참조!$B$6,참조!$C$6,IF($E72=참조!$B$7,참조!$C$7,IF($E72=참조!$B$8,참조!$C$8,"")))))))</f>
        <v>土</v>
      </c>
      <c r="G72" s="4" t="str">
        <f>IF($F72=참조!$C$2,참조!$D$2,IF($F72=참조!$C$8,참조!$D$2,IF(COUNTIF('2026년휴일'!$B:$B,$B72)&gt;0,참조!$D$2,참조!$D$3)))</f>
        <v>休</v>
      </c>
      <c r="H72" s="31">
        <f>IF($G72=참조!$D$3,참조!$E$3,참조!$E$2)</f>
        <v>5000</v>
      </c>
      <c r="I72" s="31">
        <f>SUMIFS(지출기록_3월!$H$3:$H$312,지출기록_3월!$E$3:$E$312,B72,지출기록_3월!$F$3:$F$312,참조!$F$2)</f>
        <v>0</v>
      </c>
      <c r="J72" s="31">
        <f>SUMIFS(지출기록_3월!$H$3:$H$312,지출기록_3월!$E$3:$E$312,B72,지출기록_3월!$F$3:$F$312,참조!$F$3)</f>
        <v>0</v>
      </c>
      <c r="K72" s="31">
        <f t="shared" si="10"/>
        <v>0</v>
      </c>
      <c r="L72" s="31">
        <f t="shared" ref="L72:L135" ca="1" si="13">IF(B72&gt;$B$2,H72,K72)</f>
        <v>0</v>
      </c>
      <c r="M72" s="31">
        <f t="shared" ref="M72:M135" si="14">$H72-$K72</f>
        <v>5000</v>
      </c>
    </row>
    <row r="73" spans="2:13" x14ac:dyDescent="0.3">
      <c r="B73" s="5">
        <f t="shared" si="12"/>
        <v>46089</v>
      </c>
      <c r="C73" s="3">
        <v>3</v>
      </c>
      <c r="D73" s="3">
        <v>8</v>
      </c>
      <c r="E73" s="3">
        <f t="shared" si="11"/>
        <v>1</v>
      </c>
      <c r="F73" s="4" t="str">
        <f>IF($E73=참조!$B$2,참조!$C$2,IF($E73=참조!$B$3,참조!$C$3,IF($E73=참조!$B$4,참조!$C$4,IF($E73=참조!$B$5,참조!$C$5,IF($E73=참조!$B$6,참조!$C$6,IF($E73=참조!$B$7,참조!$C$7,IF($E73=참조!$B$8,참조!$C$8,"")))))))</f>
        <v>日</v>
      </c>
      <c r="G73" s="4" t="str">
        <f>IF($F73=참조!$C$2,참조!$D$2,IF($F73=참조!$C$8,참조!$D$2,IF(COUNTIF('2026년휴일'!$B:$B,$B73)&gt;0,참조!$D$2,참조!$D$3)))</f>
        <v>休</v>
      </c>
      <c r="H73" s="31">
        <f>IF($G73=참조!$D$3,참조!$E$3,참조!$E$2)</f>
        <v>5000</v>
      </c>
      <c r="I73" s="31">
        <f>SUMIFS(지출기록_3월!$H$3:$H$312,지출기록_3월!$E$3:$E$312,B73,지출기록_3월!$F$3:$F$312,참조!$F$2)</f>
        <v>0</v>
      </c>
      <c r="J73" s="31">
        <f>SUMIFS(지출기록_3월!$H$3:$H$312,지출기록_3월!$E$3:$E$312,B73,지출기록_3월!$F$3:$F$312,참조!$F$3)</f>
        <v>0</v>
      </c>
      <c r="K73" s="31">
        <f t="shared" si="10"/>
        <v>0</v>
      </c>
      <c r="L73" s="31">
        <f t="shared" ca="1" si="13"/>
        <v>0</v>
      </c>
      <c r="M73" s="31">
        <f t="shared" si="14"/>
        <v>5000</v>
      </c>
    </row>
    <row r="74" spans="2:13" x14ac:dyDescent="0.3">
      <c r="B74" s="5">
        <f t="shared" si="12"/>
        <v>46090</v>
      </c>
      <c r="C74" s="3">
        <v>3</v>
      </c>
      <c r="D74" s="3">
        <v>9</v>
      </c>
      <c r="E74" s="3">
        <f t="shared" si="11"/>
        <v>2</v>
      </c>
      <c r="F74" s="4" t="str">
        <f>IF($E74=참조!$B$2,참조!$C$2,IF($E74=참조!$B$3,참조!$C$3,IF($E74=참조!$B$4,참조!$C$4,IF($E74=참조!$B$5,참조!$C$5,IF($E74=참조!$B$6,참조!$C$6,IF($E74=참조!$B$7,참조!$C$7,IF($E74=참조!$B$8,참조!$C$8,"")))))))</f>
        <v>月</v>
      </c>
      <c r="G74" s="4" t="str">
        <f>IF($F74=참조!$C$2,참조!$D$2,IF($F74=참조!$C$8,참조!$D$2,IF(COUNTIF('2026년휴일'!$B:$B,$B74)&gt;0,참조!$D$2,참조!$D$3)))</f>
        <v>勤</v>
      </c>
      <c r="H74" s="31">
        <f>IF($G74=참조!$D$3,참조!$E$3,참조!$E$2)</f>
        <v>1000</v>
      </c>
      <c r="I74" s="31">
        <f>SUMIFS(지출기록_3월!$H$3:$H$312,지출기록_3월!$E$3:$E$312,B74,지출기록_3월!$F$3:$F$312,참조!$F$2)</f>
        <v>0</v>
      </c>
      <c r="J74" s="31">
        <f>SUMIFS(지출기록_3월!$H$3:$H$312,지출기록_3월!$E$3:$E$312,B74,지출기록_3월!$F$3:$F$312,참조!$F$3)</f>
        <v>0</v>
      </c>
      <c r="K74" s="31">
        <f t="shared" si="10"/>
        <v>0</v>
      </c>
      <c r="L74" s="31">
        <f t="shared" ca="1" si="13"/>
        <v>0</v>
      </c>
      <c r="M74" s="31">
        <f t="shared" si="14"/>
        <v>1000</v>
      </c>
    </row>
    <row r="75" spans="2:13" x14ac:dyDescent="0.3">
      <c r="B75" s="5">
        <f t="shared" si="12"/>
        <v>46091</v>
      </c>
      <c r="C75" s="3">
        <v>3</v>
      </c>
      <c r="D75" s="3">
        <v>10</v>
      </c>
      <c r="E75" s="3">
        <f t="shared" si="11"/>
        <v>3</v>
      </c>
      <c r="F75" s="4" t="str">
        <f>IF($E75=참조!$B$2,참조!$C$2,IF($E75=참조!$B$3,참조!$C$3,IF($E75=참조!$B$4,참조!$C$4,IF($E75=참조!$B$5,참조!$C$5,IF($E75=참조!$B$6,참조!$C$6,IF($E75=참조!$B$7,참조!$C$7,IF($E75=참조!$B$8,참조!$C$8,"")))))))</f>
        <v>火</v>
      </c>
      <c r="G75" s="4" t="str">
        <f>IF($F75=참조!$C$2,참조!$D$2,IF($F75=참조!$C$8,참조!$D$2,IF(COUNTIF('2026년휴일'!$B:$B,$B75)&gt;0,참조!$D$2,참조!$D$3)))</f>
        <v>勤</v>
      </c>
      <c r="H75" s="31">
        <f>IF($G75=참조!$D$3,참조!$E$3,참조!$E$2)</f>
        <v>1000</v>
      </c>
      <c r="I75" s="31">
        <f>SUMIFS(지출기록_3월!$H$3:$H$312,지출기록_3월!$E$3:$E$312,B75,지출기록_3월!$F$3:$F$312,참조!$F$2)</f>
        <v>0</v>
      </c>
      <c r="J75" s="31">
        <f>SUMIFS(지출기록_3월!$H$3:$H$312,지출기록_3월!$E$3:$E$312,B75,지출기록_3월!$F$3:$F$312,참조!$F$3)</f>
        <v>0</v>
      </c>
      <c r="K75" s="31">
        <f t="shared" si="10"/>
        <v>0</v>
      </c>
      <c r="L75" s="31">
        <f t="shared" ca="1" si="13"/>
        <v>0</v>
      </c>
      <c r="M75" s="31">
        <f t="shared" si="14"/>
        <v>1000</v>
      </c>
    </row>
    <row r="76" spans="2:13" x14ac:dyDescent="0.3">
      <c r="B76" s="5">
        <f t="shared" si="12"/>
        <v>46092</v>
      </c>
      <c r="C76" s="3">
        <v>3</v>
      </c>
      <c r="D76" s="3">
        <v>11</v>
      </c>
      <c r="E76" s="3">
        <f t="shared" si="11"/>
        <v>4</v>
      </c>
      <c r="F76" s="4" t="str">
        <f>IF($E76=참조!$B$2,참조!$C$2,IF($E76=참조!$B$3,참조!$C$3,IF($E76=참조!$B$4,참조!$C$4,IF($E76=참조!$B$5,참조!$C$5,IF($E76=참조!$B$6,참조!$C$6,IF($E76=참조!$B$7,참조!$C$7,IF($E76=참조!$B$8,참조!$C$8,"")))))))</f>
        <v>水</v>
      </c>
      <c r="G76" s="4" t="str">
        <f>IF($F76=참조!$C$2,참조!$D$2,IF($F76=참조!$C$8,참조!$D$2,IF(COUNTIF('2026년휴일'!$B:$B,$B76)&gt;0,참조!$D$2,참조!$D$3)))</f>
        <v>勤</v>
      </c>
      <c r="H76" s="31">
        <f>IF($G76=참조!$D$3,참조!$E$3,참조!$E$2)</f>
        <v>1000</v>
      </c>
      <c r="I76" s="31">
        <f>SUMIFS(지출기록_3월!$H$3:$H$312,지출기록_3월!$E$3:$E$312,B76,지출기록_3월!$F$3:$F$312,참조!$F$2)</f>
        <v>0</v>
      </c>
      <c r="J76" s="31">
        <f>SUMIFS(지출기록_3월!$H$3:$H$312,지출기록_3월!$E$3:$E$312,B76,지출기록_3월!$F$3:$F$312,참조!$F$3)</f>
        <v>0</v>
      </c>
      <c r="K76" s="31">
        <f t="shared" si="10"/>
        <v>0</v>
      </c>
      <c r="L76" s="31">
        <f t="shared" ca="1" si="13"/>
        <v>0</v>
      </c>
      <c r="M76" s="31">
        <f t="shared" si="14"/>
        <v>1000</v>
      </c>
    </row>
    <row r="77" spans="2:13" x14ac:dyDescent="0.3">
      <c r="B77" s="5">
        <f t="shared" si="12"/>
        <v>46093</v>
      </c>
      <c r="C77" s="3">
        <v>3</v>
      </c>
      <c r="D77" s="3">
        <v>12</v>
      </c>
      <c r="E77" s="3">
        <f t="shared" si="11"/>
        <v>5</v>
      </c>
      <c r="F77" s="4" t="str">
        <f>IF($E77=참조!$B$2,참조!$C$2,IF($E77=참조!$B$3,참조!$C$3,IF($E77=참조!$B$4,참조!$C$4,IF($E77=참조!$B$5,참조!$C$5,IF($E77=참조!$B$6,참조!$C$6,IF($E77=참조!$B$7,참조!$C$7,IF($E77=참조!$B$8,참조!$C$8,"")))))))</f>
        <v>木</v>
      </c>
      <c r="G77" s="4" t="str">
        <f>IF($F77=참조!$C$2,참조!$D$2,IF($F77=참조!$C$8,참조!$D$2,IF(COUNTIF('2026년휴일'!$B:$B,$B77)&gt;0,참조!$D$2,참조!$D$3)))</f>
        <v>勤</v>
      </c>
      <c r="H77" s="31">
        <f>IF($G77=참조!$D$3,참조!$E$3,참조!$E$2)</f>
        <v>1000</v>
      </c>
      <c r="I77" s="31">
        <f>SUMIFS(지출기록_3월!$H$3:$H$312,지출기록_3월!$E$3:$E$312,B77,지출기록_3월!$F$3:$F$312,참조!$F$2)</f>
        <v>0</v>
      </c>
      <c r="J77" s="31">
        <f>SUMIFS(지출기록_3월!$H$3:$H$312,지출기록_3월!$E$3:$E$312,B77,지출기록_3월!$F$3:$F$312,참조!$F$3)</f>
        <v>0</v>
      </c>
      <c r="K77" s="31">
        <f t="shared" si="10"/>
        <v>0</v>
      </c>
      <c r="L77" s="31">
        <f t="shared" ca="1" si="13"/>
        <v>0</v>
      </c>
      <c r="M77" s="31">
        <f t="shared" si="14"/>
        <v>1000</v>
      </c>
    </row>
    <row r="78" spans="2:13" x14ac:dyDescent="0.3">
      <c r="B78" s="5">
        <f t="shared" si="12"/>
        <v>46094</v>
      </c>
      <c r="C78" s="3">
        <v>3</v>
      </c>
      <c r="D78" s="3">
        <v>13</v>
      </c>
      <c r="E78" s="3">
        <f t="shared" si="11"/>
        <v>6</v>
      </c>
      <c r="F78" s="4" t="str">
        <f>IF($E78=참조!$B$2,참조!$C$2,IF($E78=참조!$B$3,참조!$C$3,IF($E78=참조!$B$4,참조!$C$4,IF($E78=참조!$B$5,참조!$C$5,IF($E78=참조!$B$6,참조!$C$6,IF($E78=참조!$B$7,참조!$C$7,IF($E78=참조!$B$8,참조!$C$8,"")))))))</f>
        <v>金</v>
      </c>
      <c r="G78" s="4" t="str">
        <f>IF($F78=참조!$C$2,참조!$D$2,IF($F78=참조!$C$8,참조!$D$2,IF(COUNTIF('2026년휴일'!$B:$B,$B78)&gt;0,참조!$D$2,참조!$D$3)))</f>
        <v>勤</v>
      </c>
      <c r="H78" s="31">
        <f>IF($G78=참조!$D$3,참조!$E$3,참조!$E$2)</f>
        <v>1000</v>
      </c>
      <c r="I78" s="31">
        <f>SUMIFS(지출기록_3월!$H$3:$H$312,지출기록_3월!$E$3:$E$312,B78,지출기록_3월!$F$3:$F$312,참조!$F$2)</f>
        <v>0</v>
      </c>
      <c r="J78" s="31">
        <f>SUMIFS(지출기록_3월!$H$3:$H$312,지출기록_3월!$E$3:$E$312,B78,지출기록_3월!$F$3:$F$312,참조!$F$3)</f>
        <v>0</v>
      </c>
      <c r="K78" s="31">
        <f t="shared" si="10"/>
        <v>0</v>
      </c>
      <c r="L78" s="31">
        <f t="shared" ca="1" si="13"/>
        <v>0</v>
      </c>
      <c r="M78" s="31">
        <f t="shared" si="14"/>
        <v>1000</v>
      </c>
    </row>
    <row r="79" spans="2:13" x14ac:dyDescent="0.3">
      <c r="B79" s="5">
        <f t="shared" si="12"/>
        <v>46095</v>
      </c>
      <c r="C79" s="3">
        <v>3</v>
      </c>
      <c r="D79" s="3">
        <v>14</v>
      </c>
      <c r="E79" s="3">
        <f t="shared" si="11"/>
        <v>7</v>
      </c>
      <c r="F79" s="4" t="str">
        <f>IF($E79=참조!$B$2,참조!$C$2,IF($E79=참조!$B$3,참조!$C$3,IF($E79=참조!$B$4,참조!$C$4,IF($E79=참조!$B$5,참조!$C$5,IF($E79=참조!$B$6,참조!$C$6,IF($E79=참조!$B$7,참조!$C$7,IF($E79=참조!$B$8,참조!$C$8,"")))))))</f>
        <v>土</v>
      </c>
      <c r="G79" s="4" t="str">
        <f>IF($F79=참조!$C$2,참조!$D$2,IF($F79=참조!$C$8,참조!$D$2,IF(COUNTIF('2026년휴일'!$B:$B,$B79)&gt;0,참조!$D$2,참조!$D$3)))</f>
        <v>休</v>
      </c>
      <c r="H79" s="31">
        <f>IF($G79=참조!$D$3,참조!$E$3,참조!$E$2)</f>
        <v>5000</v>
      </c>
      <c r="I79" s="31">
        <f>SUMIFS(지출기록_3월!$H$3:$H$312,지출기록_3월!$E$3:$E$312,B79,지출기록_3월!$F$3:$F$312,참조!$F$2)</f>
        <v>0</v>
      </c>
      <c r="J79" s="31">
        <f>SUMIFS(지출기록_3월!$H$3:$H$312,지출기록_3월!$E$3:$E$312,B79,지출기록_3월!$F$3:$F$312,참조!$F$3)</f>
        <v>0</v>
      </c>
      <c r="K79" s="31">
        <f t="shared" si="10"/>
        <v>0</v>
      </c>
      <c r="L79" s="31">
        <f t="shared" ca="1" si="13"/>
        <v>0</v>
      </c>
      <c r="M79" s="31">
        <f t="shared" si="14"/>
        <v>5000</v>
      </c>
    </row>
    <row r="80" spans="2:13" x14ac:dyDescent="0.3">
      <c r="B80" s="5">
        <f t="shared" si="12"/>
        <v>46096</v>
      </c>
      <c r="C80" s="3">
        <v>3</v>
      </c>
      <c r="D80" s="3">
        <v>15</v>
      </c>
      <c r="E80" s="3">
        <f t="shared" si="11"/>
        <v>1</v>
      </c>
      <c r="F80" s="4" t="str">
        <f>IF($E80=참조!$B$2,참조!$C$2,IF($E80=참조!$B$3,참조!$C$3,IF($E80=참조!$B$4,참조!$C$4,IF($E80=참조!$B$5,참조!$C$5,IF($E80=참조!$B$6,참조!$C$6,IF($E80=참조!$B$7,참조!$C$7,IF($E80=참조!$B$8,참조!$C$8,"")))))))</f>
        <v>日</v>
      </c>
      <c r="G80" s="4" t="str">
        <f>IF($F80=참조!$C$2,참조!$D$2,IF($F80=참조!$C$8,참조!$D$2,IF(COUNTIF('2026년휴일'!$B:$B,$B80)&gt;0,참조!$D$2,참조!$D$3)))</f>
        <v>休</v>
      </c>
      <c r="H80" s="31">
        <f>IF($G80=참조!$D$3,참조!$E$3,참조!$E$2)</f>
        <v>5000</v>
      </c>
      <c r="I80" s="31">
        <f>SUMIFS(지출기록_3월!$H$3:$H$312,지출기록_3월!$E$3:$E$312,B80,지출기록_3월!$F$3:$F$312,참조!$F$2)</f>
        <v>0</v>
      </c>
      <c r="J80" s="31">
        <f>SUMIFS(지출기록_3월!$H$3:$H$312,지출기록_3월!$E$3:$E$312,B80,지출기록_3월!$F$3:$F$312,참조!$F$3)</f>
        <v>0</v>
      </c>
      <c r="K80" s="31">
        <f t="shared" si="10"/>
        <v>0</v>
      </c>
      <c r="L80" s="31">
        <f t="shared" ca="1" si="13"/>
        <v>0</v>
      </c>
      <c r="M80" s="31">
        <f t="shared" si="14"/>
        <v>5000</v>
      </c>
    </row>
    <row r="81" spans="2:13" x14ac:dyDescent="0.3">
      <c r="B81" s="5">
        <f t="shared" si="12"/>
        <v>46097</v>
      </c>
      <c r="C81" s="3">
        <v>3</v>
      </c>
      <c r="D81" s="3">
        <v>16</v>
      </c>
      <c r="E81" s="3">
        <f t="shared" si="11"/>
        <v>2</v>
      </c>
      <c r="F81" s="4" t="str">
        <f>IF($E81=참조!$B$2,참조!$C$2,IF($E81=참조!$B$3,참조!$C$3,IF($E81=참조!$B$4,참조!$C$4,IF($E81=참조!$B$5,참조!$C$5,IF($E81=참조!$B$6,참조!$C$6,IF($E81=참조!$B$7,참조!$C$7,IF($E81=참조!$B$8,참조!$C$8,"")))))))</f>
        <v>月</v>
      </c>
      <c r="G81" s="4" t="str">
        <f>IF($F81=참조!$C$2,참조!$D$2,IF($F81=참조!$C$8,참조!$D$2,IF(COUNTIF('2026년휴일'!$B:$B,$B81)&gt;0,참조!$D$2,참조!$D$3)))</f>
        <v>勤</v>
      </c>
      <c r="H81" s="31">
        <f>IF($G81=참조!$D$3,참조!$E$3,참조!$E$2)</f>
        <v>1000</v>
      </c>
      <c r="I81" s="31">
        <f>SUMIFS(지출기록_3월!$H$3:$H$312,지출기록_3월!$E$3:$E$312,B81,지출기록_3월!$F$3:$F$312,참조!$F$2)</f>
        <v>0</v>
      </c>
      <c r="J81" s="31">
        <f>SUMIFS(지출기록_3월!$H$3:$H$312,지출기록_3월!$E$3:$E$312,B81,지출기록_3월!$F$3:$F$312,참조!$F$3)</f>
        <v>0</v>
      </c>
      <c r="K81" s="31">
        <f t="shared" si="10"/>
        <v>0</v>
      </c>
      <c r="L81" s="31">
        <f t="shared" ca="1" si="13"/>
        <v>0</v>
      </c>
      <c r="M81" s="31">
        <f t="shared" si="14"/>
        <v>1000</v>
      </c>
    </row>
    <row r="82" spans="2:13" x14ac:dyDescent="0.3">
      <c r="B82" s="5">
        <f t="shared" si="12"/>
        <v>46098</v>
      </c>
      <c r="C82" s="3">
        <v>3</v>
      </c>
      <c r="D82" s="3">
        <v>17</v>
      </c>
      <c r="E82" s="3">
        <f t="shared" si="11"/>
        <v>3</v>
      </c>
      <c r="F82" s="4" t="str">
        <f>IF($E82=참조!$B$2,참조!$C$2,IF($E82=참조!$B$3,참조!$C$3,IF($E82=참조!$B$4,참조!$C$4,IF($E82=참조!$B$5,참조!$C$5,IF($E82=참조!$B$6,참조!$C$6,IF($E82=참조!$B$7,참조!$C$7,IF($E82=참조!$B$8,참조!$C$8,"")))))))</f>
        <v>火</v>
      </c>
      <c r="G82" s="4" t="str">
        <f>IF($F82=참조!$C$2,참조!$D$2,IF($F82=참조!$C$8,참조!$D$2,IF(COUNTIF('2026년휴일'!$B:$B,$B82)&gt;0,참조!$D$2,참조!$D$3)))</f>
        <v>勤</v>
      </c>
      <c r="H82" s="31">
        <f>IF($G82=참조!$D$3,참조!$E$3,참조!$E$2)</f>
        <v>1000</v>
      </c>
      <c r="I82" s="31">
        <f>SUMIFS(지출기록_3월!$H$3:$H$312,지출기록_3월!$E$3:$E$312,B82,지출기록_3월!$F$3:$F$312,참조!$F$2)</f>
        <v>0</v>
      </c>
      <c r="J82" s="31">
        <f>SUMIFS(지출기록_3월!$H$3:$H$312,지출기록_3월!$E$3:$E$312,B82,지출기록_3월!$F$3:$F$312,참조!$F$3)</f>
        <v>0</v>
      </c>
      <c r="K82" s="31">
        <f t="shared" si="10"/>
        <v>0</v>
      </c>
      <c r="L82" s="31">
        <f t="shared" ca="1" si="13"/>
        <v>0</v>
      </c>
      <c r="M82" s="31">
        <f t="shared" si="14"/>
        <v>1000</v>
      </c>
    </row>
    <row r="83" spans="2:13" x14ac:dyDescent="0.3">
      <c r="B83" s="5">
        <f t="shared" si="12"/>
        <v>46099</v>
      </c>
      <c r="C83" s="3">
        <v>3</v>
      </c>
      <c r="D83" s="3">
        <v>18</v>
      </c>
      <c r="E83" s="3">
        <f t="shared" si="11"/>
        <v>4</v>
      </c>
      <c r="F83" s="4" t="str">
        <f>IF($E83=참조!$B$2,참조!$C$2,IF($E83=참조!$B$3,참조!$C$3,IF($E83=참조!$B$4,참조!$C$4,IF($E83=참조!$B$5,참조!$C$5,IF($E83=참조!$B$6,참조!$C$6,IF($E83=참조!$B$7,참조!$C$7,IF($E83=참조!$B$8,참조!$C$8,"")))))))</f>
        <v>水</v>
      </c>
      <c r="G83" s="4" t="str">
        <f>IF($F83=참조!$C$2,참조!$D$2,IF($F83=참조!$C$8,참조!$D$2,IF(COUNTIF('2026년휴일'!$B:$B,$B83)&gt;0,참조!$D$2,참조!$D$3)))</f>
        <v>勤</v>
      </c>
      <c r="H83" s="31">
        <f>IF($G83=참조!$D$3,참조!$E$3,참조!$E$2)</f>
        <v>1000</v>
      </c>
      <c r="I83" s="31">
        <f>SUMIFS(지출기록_3월!$H$3:$H$312,지출기록_3월!$E$3:$E$312,B83,지출기록_3월!$F$3:$F$312,참조!$F$2)</f>
        <v>0</v>
      </c>
      <c r="J83" s="31">
        <f>SUMIFS(지출기록_3월!$H$3:$H$312,지출기록_3월!$E$3:$E$312,B83,지출기록_3월!$F$3:$F$312,참조!$F$3)</f>
        <v>0</v>
      </c>
      <c r="K83" s="31">
        <f t="shared" si="10"/>
        <v>0</v>
      </c>
      <c r="L83" s="31">
        <f t="shared" ca="1" si="13"/>
        <v>0</v>
      </c>
      <c r="M83" s="31">
        <f t="shared" si="14"/>
        <v>1000</v>
      </c>
    </row>
    <row r="84" spans="2:13" x14ac:dyDescent="0.3">
      <c r="B84" s="5">
        <f t="shared" si="12"/>
        <v>46100</v>
      </c>
      <c r="C84" s="3">
        <v>3</v>
      </c>
      <c r="D84" s="3">
        <v>19</v>
      </c>
      <c r="E84" s="3">
        <f t="shared" si="11"/>
        <v>5</v>
      </c>
      <c r="F84" s="4" t="str">
        <f>IF($E84=참조!$B$2,참조!$C$2,IF($E84=참조!$B$3,참조!$C$3,IF($E84=참조!$B$4,참조!$C$4,IF($E84=참조!$B$5,참조!$C$5,IF($E84=참조!$B$6,참조!$C$6,IF($E84=참조!$B$7,참조!$C$7,IF($E84=참조!$B$8,참조!$C$8,"")))))))</f>
        <v>木</v>
      </c>
      <c r="G84" s="4" t="str">
        <f>IF($F84=참조!$C$2,참조!$D$2,IF($F84=참조!$C$8,참조!$D$2,IF(COUNTIF('2026년휴일'!$B:$B,$B84)&gt;0,참조!$D$2,참조!$D$3)))</f>
        <v>勤</v>
      </c>
      <c r="H84" s="31">
        <f>IF($G84=참조!$D$3,참조!$E$3,참조!$E$2)</f>
        <v>1000</v>
      </c>
      <c r="I84" s="31">
        <f>SUMIFS(지출기록_3월!$H$3:$H$312,지출기록_3월!$E$3:$E$312,B84,지출기록_3월!$F$3:$F$312,참조!$F$2)</f>
        <v>0</v>
      </c>
      <c r="J84" s="31">
        <f>SUMIFS(지출기록_3월!$H$3:$H$312,지출기록_3월!$E$3:$E$312,B84,지출기록_3월!$F$3:$F$312,참조!$F$3)</f>
        <v>0</v>
      </c>
      <c r="K84" s="31">
        <f t="shared" si="10"/>
        <v>0</v>
      </c>
      <c r="L84" s="31">
        <f t="shared" ca="1" si="13"/>
        <v>0</v>
      </c>
      <c r="M84" s="31">
        <f t="shared" si="14"/>
        <v>1000</v>
      </c>
    </row>
    <row r="85" spans="2:13" x14ac:dyDescent="0.3">
      <c r="B85" s="5">
        <f t="shared" si="12"/>
        <v>46101</v>
      </c>
      <c r="C85" s="3">
        <v>3</v>
      </c>
      <c r="D85" s="3">
        <v>20</v>
      </c>
      <c r="E85" s="3">
        <f t="shared" si="11"/>
        <v>6</v>
      </c>
      <c r="F85" s="4" t="str">
        <f>IF($E85=참조!$B$2,참조!$C$2,IF($E85=참조!$B$3,참조!$C$3,IF($E85=참조!$B$4,참조!$C$4,IF($E85=참조!$B$5,참조!$C$5,IF($E85=참조!$B$6,참조!$C$6,IF($E85=참조!$B$7,참조!$C$7,IF($E85=참조!$B$8,참조!$C$8,"")))))))</f>
        <v>金</v>
      </c>
      <c r="G85" s="4" t="str">
        <f>IF($F85=참조!$C$2,참조!$D$2,IF($F85=참조!$C$8,참조!$D$2,IF(COUNTIF('2026년휴일'!$B:$B,$B85)&gt;0,참조!$D$2,참조!$D$3)))</f>
        <v>休</v>
      </c>
      <c r="H85" s="31">
        <f>IF($G85=참조!$D$3,참조!$E$3,참조!$E$2)</f>
        <v>5000</v>
      </c>
      <c r="I85" s="31">
        <f>SUMIFS(지출기록_3월!$H$3:$H$312,지출기록_3월!$E$3:$E$312,B85,지출기록_3월!$F$3:$F$312,참조!$F$2)</f>
        <v>0</v>
      </c>
      <c r="J85" s="31">
        <f>SUMIFS(지출기록_3월!$H$3:$H$312,지출기록_3월!$E$3:$E$312,B85,지출기록_3월!$F$3:$F$312,참조!$F$3)</f>
        <v>0</v>
      </c>
      <c r="K85" s="31">
        <f t="shared" ref="K85:K86" si="15">I85-J85</f>
        <v>0</v>
      </c>
      <c r="L85" s="31">
        <f t="shared" ca="1" si="13"/>
        <v>0</v>
      </c>
      <c r="M85" s="31">
        <f t="shared" si="14"/>
        <v>5000</v>
      </c>
    </row>
    <row r="86" spans="2:13" x14ac:dyDescent="0.3">
      <c r="B86" s="5">
        <f t="shared" si="12"/>
        <v>46102</v>
      </c>
      <c r="C86" s="3">
        <v>3</v>
      </c>
      <c r="D86" s="3">
        <v>21</v>
      </c>
      <c r="E86" s="3">
        <f t="shared" si="11"/>
        <v>7</v>
      </c>
      <c r="F86" s="4" t="str">
        <f>IF($E86=참조!$B$2,참조!$C$2,IF($E86=참조!$B$3,참조!$C$3,IF($E86=참조!$B$4,참조!$C$4,IF($E86=참조!$B$5,참조!$C$5,IF($E86=참조!$B$6,참조!$C$6,IF($E86=참조!$B$7,참조!$C$7,IF($E86=참조!$B$8,참조!$C$8,"")))))))</f>
        <v>土</v>
      </c>
      <c r="G86" s="4" t="str">
        <f>IF($F86=참조!$C$2,참조!$D$2,IF($F86=참조!$C$8,참조!$D$2,IF(COUNTIF('2026년휴일'!$B:$B,$B86)&gt;0,참조!$D$2,참조!$D$3)))</f>
        <v>休</v>
      </c>
      <c r="H86" s="31">
        <f>IF($G86=참조!$D$3,참조!$E$3,참조!$E$2)</f>
        <v>5000</v>
      </c>
      <c r="I86" s="31">
        <f>SUMIFS(지출기록_3월!$H$3:$H$312,지출기록_3월!$E$3:$E$312,B86,지출기록_3월!$F$3:$F$312,참조!$F$2)</f>
        <v>0</v>
      </c>
      <c r="J86" s="31">
        <f>SUMIFS(지출기록_3월!$H$3:$H$312,지출기록_3월!$E$3:$E$312,B86,지출기록_3월!$F$3:$F$312,참조!$F$3)</f>
        <v>0</v>
      </c>
      <c r="K86" s="31">
        <f t="shared" si="15"/>
        <v>0</v>
      </c>
      <c r="L86" s="31">
        <f t="shared" ca="1" si="13"/>
        <v>0</v>
      </c>
      <c r="M86" s="31">
        <f t="shared" si="14"/>
        <v>5000</v>
      </c>
    </row>
    <row r="87" spans="2:13" x14ac:dyDescent="0.3">
      <c r="B87" s="5">
        <f t="shared" si="12"/>
        <v>46103</v>
      </c>
      <c r="C87" s="3">
        <v>3</v>
      </c>
      <c r="D87" s="3">
        <v>22</v>
      </c>
      <c r="E87" s="3">
        <f t="shared" si="11"/>
        <v>1</v>
      </c>
      <c r="F87" s="4" t="str">
        <f>IF($E87=참조!$B$2,참조!$C$2,IF($E87=참조!$B$3,참조!$C$3,IF($E87=참조!$B$4,참조!$C$4,IF($E87=참조!$B$5,참조!$C$5,IF($E87=참조!$B$6,참조!$C$6,IF($E87=참조!$B$7,참조!$C$7,IF($E87=참조!$B$8,참조!$C$8,"")))))))</f>
        <v>日</v>
      </c>
      <c r="G87" s="4" t="str">
        <f>IF($F87=참조!$C$2,참조!$D$2,IF($F87=참조!$C$8,참조!$D$2,IF(COUNTIF('2026년휴일'!$B:$B,$B87)&gt;0,참조!$D$2,참조!$D$3)))</f>
        <v>休</v>
      </c>
      <c r="H87" s="31">
        <f>IF($G87=참조!$D$3,참조!$E$3,참조!$E$2)</f>
        <v>5000</v>
      </c>
      <c r="I87" s="31">
        <f>SUMIFS(지출기록_3월!$H$3:$H$312,지출기록_3월!$E$3:$E$312,B87,지출기록_3월!$F$3:$F$312,참조!$F$2)</f>
        <v>0</v>
      </c>
      <c r="J87" s="31">
        <f>SUMIFS(지출기록_3월!$H$3:$H$312,지출기록_3월!$E$3:$E$312,B87,지출기록_3월!$F$3:$F$312,참조!$F$3)</f>
        <v>0</v>
      </c>
      <c r="K87" s="31">
        <f t="shared" ref="K87:K101" si="16">I87-J87</f>
        <v>0</v>
      </c>
      <c r="L87" s="31">
        <f t="shared" ca="1" si="13"/>
        <v>0</v>
      </c>
      <c r="M87" s="31">
        <f t="shared" si="14"/>
        <v>5000</v>
      </c>
    </row>
    <row r="88" spans="2:13" x14ac:dyDescent="0.3">
      <c r="B88" s="5">
        <f t="shared" si="12"/>
        <v>46104</v>
      </c>
      <c r="C88" s="3">
        <v>3</v>
      </c>
      <c r="D88" s="3">
        <v>23</v>
      </c>
      <c r="E88" s="3">
        <f t="shared" si="11"/>
        <v>2</v>
      </c>
      <c r="F88" s="4" t="str">
        <f>IF($E88=참조!$B$2,참조!$C$2,IF($E88=참조!$B$3,참조!$C$3,IF($E88=참조!$B$4,참조!$C$4,IF($E88=참조!$B$5,참조!$C$5,IF($E88=참조!$B$6,참조!$C$6,IF($E88=참조!$B$7,참조!$C$7,IF($E88=참조!$B$8,참조!$C$8,"")))))))</f>
        <v>月</v>
      </c>
      <c r="G88" s="4" t="str">
        <f>IF($F88=참조!$C$2,참조!$D$2,IF($F88=참조!$C$8,참조!$D$2,IF(COUNTIF('2026년휴일'!$B:$B,$B88)&gt;0,참조!$D$2,참조!$D$3)))</f>
        <v>勤</v>
      </c>
      <c r="H88" s="31">
        <f>IF($G88=참조!$D$3,참조!$E$3,참조!$E$2)</f>
        <v>1000</v>
      </c>
      <c r="I88" s="31">
        <f>SUMIFS(지출기록_3월!$H$3:$H$312,지출기록_3월!$E$3:$E$312,B88,지출기록_3월!$F$3:$F$312,참조!$F$2)</f>
        <v>0</v>
      </c>
      <c r="J88" s="31">
        <f>SUMIFS(지출기록_3월!$H$3:$H$312,지출기록_3월!$E$3:$E$312,B88,지출기록_3월!$F$3:$F$312,참조!$F$3)</f>
        <v>0</v>
      </c>
      <c r="K88" s="31">
        <f t="shared" si="16"/>
        <v>0</v>
      </c>
      <c r="L88" s="31">
        <f t="shared" ca="1" si="13"/>
        <v>0</v>
      </c>
      <c r="M88" s="31">
        <f t="shared" si="14"/>
        <v>1000</v>
      </c>
    </row>
    <row r="89" spans="2:13" x14ac:dyDescent="0.3">
      <c r="B89" s="5">
        <f t="shared" si="12"/>
        <v>46105</v>
      </c>
      <c r="C89" s="3">
        <v>3</v>
      </c>
      <c r="D89" s="3">
        <v>24</v>
      </c>
      <c r="E89" s="3">
        <f t="shared" si="11"/>
        <v>3</v>
      </c>
      <c r="F89" s="4" t="str">
        <f>IF($E89=참조!$B$2,참조!$C$2,IF($E89=참조!$B$3,참조!$C$3,IF($E89=참조!$B$4,참조!$C$4,IF($E89=참조!$B$5,참조!$C$5,IF($E89=참조!$B$6,참조!$C$6,IF($E89=참조!$B$7,참조!$C$7,IF($E89=참조!$B$8,참조!$C$8,"")))))))</f>
        <v>火</v>
      </c>
      <c r="G89" s="4" t="str">
        <f>IF($F89=참조!$C$2,참조!$D$2,IF($F89=참조!$C$8,참조!$D$2,IF(COUNTIF('2026년휴일'!$B:$B,$B89)&gt;0,참조!$D$2,참조!$D$3)))</f>
        <v>勤</v>
      </c>
      <c r="H89" s="31">
        <f>IF($G89=참조!$D$3,참조!$E$3,참조!$E$2)</f>
        <v>1000</v>
      </c>
      <c r="I89" s="31">
        <f>SUMIFS(지출기록_3월!$H$3:$H$312,지출기록_3월!$E$3:$E$312,B89,지출기록_3월!$F$3:$F$312,참조!$F$2)</f>
        <v>0</v>
      </c>
      <c r="J89" s="31">
        <f>SUMIFS(지출기록_3월!$H$3:$H$312,지출기록_3월!$E$3:$E$312,B89,지출기록_3월!$F$3:$F$312,참조!$F$3)</f>
        <v>0</v>
      </c>
      <c r="K89" s="31">
        <f t="shared" si="16"/>
        <v>0</v>
      </c>
      <c r="L89" s="31">
        <f t="shared" ca="1" si="13"/>
        <v>0</v>
      </c>
      <c r="M89" s="31">
        <f t="shared" si="14"/>
        <v>1000</v>
      </c>
    </row>
    <row r="90" spans="2:13" x14ac:dyDescent="0.3">
      <c r="B90" s="5">
        <f t="shared" si="12"/>
        <v>46106</v>
      </c>
      <c r="C90" s="3">
        <v>3</v>
      </c>
      <c r="D90" s="3">
        <v>25</v>
      </c>
      <c r="E90" s="3">
        <f t="shared" si="11"/>
        <v>4</v>
      </c>
      <c r="F90" s="4" t="str">
        <f>IF($E90=참조!$B$2,참조!$C$2,IF($E90=참조!$B$3,참조!$C$3,IF($E90=참조!$B$4,참조!$C$4,IF($E90=참조!$B$5,참조!$C$5,IF($E90=참조!$B$6,참조!$C$6,IF($E90=참조!$B$7,참조!$C$7,IF($E90=참조!$B$8,참조!$C$8,"")))))))</f>
        <v>水</v>
      </c>
      <c r="G90" s="4" t="str">
        <f>IF($F90=참조!$C$2,참조!$D$2,IF($F90=참조!$C$8,참조!$D$2,IF(COUNTIF('2026년휴일'!$B:$B,$B90)&gt;0,참조!$D$2,참조!$D$3)))</f>
        <v>勤</v>
      </c>
      <c r="H90" s="31">
        <f>IF($G90=참조!$D$3,참조!$E$3,참조!$E$2)</f>
        <v>1000</v>
      </c>
      <c r="I90" s="31">
        <f>SUMIFS(지출기록_3월!$H$3:$H$312,지출기록_3월!$E$3:$E$312,B90,지출기록_3월!$F$3:$F$312,참조!$F$2)</f>
        <v>0</v>
      </c>
      <c r="J90" s="31">
        <f>SUMIFS(지출기록_3월!$H$3:$H$312,지출기록_3월!$E$3:$E$312,B90,지출기록_3월!$F$3:$F$312,참조!$F$3)</f>
        <v>0</v>
      </c>
      <c r="K90" s="31">
        <f t="shared" si="16"/>
        <v>0</v>
      </c>
      <c r="L90" s="31">
        <f t="shared" ca="1" si="13"/>
        <v>0</v>
      </c>
      <c r="M90" s="31">
        <f t="shared" si="14"/>
        <v>1000</v>
      </c>
    </row>
    <row r="91" spans="2:13" x14ac:dyDescent="0.3">
      <c r="B91" s="5">
        <f t="shared" si="12"/>
        <v>46107</v>
      </c>
      <c r="C91" s="3">
        <v>3</v>
      </c>
      <c r="D91" s="3">
        <v>26</v>
      </c>
      <c r="E91" s="3">
        <f t="shared" si="11"/>
        <v>5</v>
      </c>
      <c r="F91" s="4" t="str">
        <f>IF($E91=참조!$B$2,참조!$C$2,IF($E91=참조!$B$3,참조!$C$3,IF($E91=참조!$B$4,참조!$C$4,IF($E91=참조!$B$5,참조!$C$5,IF($E91=참조!$B$6,참조!$C$6,IF($E91=참조!$B$7,참조!$C$7,IF($E91=참조!$B$8,참조!$C$8,"")))))))</f>
        <v>木</v>
      </c>
      <c r="G91" s="4" t="str">
        <f>IF($F91=참조!$C$2,참조!$D$2,IF($F91=참조!$C$8,참조!$D$2,IF(COUNTIF('2026년휴일'!$B:$B,$B91)&gt;0,참조!$D$2,참조!$D$3)))</f>
        <v>勤</v>
      </c>
      <c r="H91" s="31">
        <f>IF($G91=참조!$D$3,참조!$E$3,참조!$E$2)</f>
        <v>1000</v>
      </c>
      <c r="I91" s="31">
        <f>SUMIFS(지출기록_3월!$H$3:$H$312,지출기록_3월!$E$3:$E$312,B91,지출기록_3월!$F$3:$F$312,참조!$F$2)</f>
        <v>0</v>
      </c>
      <c r="J91" s="31">
        <f>SUMIFS(지출기록_3월!$H$3:$H$312,지출기록_3월!$E$3:$E$312,B91,지출기록_3월!$F$3:$F$312,참조!$F$3)</f>
        <v>0</v>
      </c>
      <c r="K91" s="31">
        <f t="shared" si="16"/>
        <v>0</v>
      </c>
      <c r="L91" s="31">
        <f t="shared" ca="1" si="13"/>
        <v>0</v>
      </c>
      <c r="M91" s="31">
        <f t="shared" si="14"/>
        <v>1000</v>
      </c>
    </row>
    <row r="92" spans="2:13" x14ac:dyDescent="0.3">
      <c r="B92" s="5">
        <f t="shared" si="12"/>
        <v>46108</v>
      </c>
      <c r="C92" s="3">
        <v>3</v>
      </c>
      <c r="D92" s="3">
        <v>27</v>
      </c>
      <c r="E92" s="3">
        <f t="shared" si="11"/>
        <v>6</v>
      </c>
      <c r="F92" s="4" t="str">
        <f>IF($E92=참조!$B$2,참조!$C$2,IF($E92=참조!$B$3,참조!$C$3,IF($E92=참조!$B$4,참조!$C$4,IF($E92=참조!$B$5,참조!$C$5,IF($E92=참조!$B$6,참조!$C$6,IF($E92=참조!$B$7,참조!$C$7,IF($E92=참조!$B$8,참조!$C$8,"")))))))</f>
        <v>金</v>
      </c>
      <c r="G92" s="4" t="str">
        <f>IF($F92=참조!$C$2,참조!$D$2,IF($F92=참조!$C$8,참조!$D$2,IF(COUNTIF('2026년휴일'!$B:$B,$B92)&gt;0,참조!$D$2,참조!$D$3)))</f>
        <v>勤</v>
      </c>
      <c r="H92" s="31">
        <f>IF($G92=참조!$D$3,참조!$E$3,참조!$E$2)</f>
        <v>1000</v>
      </c>
      <c r="I92" s="31">
        <f>SUMIFS(지출기록_3월!$H$3:$H$312,지출기록_3월!$E$3:$E$312,B92,지출기록_3월!$F$3:$F$312,참조!$F$2)</f>
        <v>0</v>
      </c>
      <c r="J92" s="31">
        <f>SUMIFS(지출기록_3월!$H$3:$H$312,지출기록_3월!$E$3:$E$312,B92,지출기록_3월!$F$3:$F$312,참조!$F$3)</f>
        <v>0</v>
      </c>
      <c r="K92" s="31">
        <f t="shared" si="16"/>
        <v>0</v>
      </c>
      <c r="L92" s="31">
        <f t="shared" ca="1" si="13"/>
        <v>0</v>
      </c>
      <c r="M92" s="31">
        <f t="shared" si="14"/>
        <v>1000</v>
      </c>
    </row>
    <row r="93" spans="2:13" x14ac:dyDescent="0.3">
      <c r="B93" s="5">
        <f t="shared" si="12"/>
        <v>46109</v>
      </c>
      <c r="C93" s="3">
        <v>3</v>
      </c>
      <c r="D93" s="3">
        <v>28</v>
      </c>
      <c r="E93" s="3">
        <f t="shared" si="11"/>
        <v>7</v>
      </c>
      <c r="F93" s="4" t="str">
        <f>IF($E93=참조!$B$2,참조!$C$2,IF($E93=참조!$B$3,참조!$C$3,IF($E93=참조!$B$4,참조!$C$4,IF($E93=참조!$B$5,참조!$C$5,IF($E93=참조!$B$6,참조!$C$6,IF($E93=참조!$B$7,참조!$C$7,IF($E93=참조!$B$8,참조!$C$8,"")))))))</f>
        <v>土</v>
      </c>
      <c r="G93" s="4" t="str">
        <f>IF($F93=참조!$C$2,참조!$D$2,IF($F93=참조!$C$8,참조!$D$2,IF(COUNTIF('2026년휴일'!$B:$B,$B93)&gt;0,참조!$D$2,참조!$D$3)))</f>
        <v>休</v>
      </c>
      <c r="H93" s="31">
        <f>IF($G93=참조!$D$3,참조!$E$3,참조!$E$2)</f>
        <v>5000</v>
      </c>
      <c r="I93" s="31">
        <f>SUMIFS(지출기록_3월!$H$3:$H$312,지출기록_3월!$E$3:$E$312,B93,지출기록_3월!$F$3:$F$312,참조!$F$2)</f>
        <v>0</v>
      </c>
      <c r="J93" s="31">
        <f>SUMIFS(지출기록_3월!$H$3:$H$312,지출기록_3월!$E$3:$E$312,B93,지출기록_3월!$F$3:$F$312,참조!$F$3)</f>
        <v>0</v>
      </c>
      <c r="K93" s="31">
        <f t="shared" si="16"/>
        <v>0</v>
      </c>
      <c r="L93" s="31">
        <f t="shared" ca="1" si="13"/>
        <v>0</v>
      </c>
      <c r="M93" s="31">
        <f t="shared" si="14"/>
        <v>5000</v>
      </c>
    </row>
    <row r="94" spans="2:13" x14ac:dyDescent="0.3">
      <c r="B94" s="5">
        <f t="shared" si="12"/>
        <v>46110</v>
      </c>
      <c r="C94" s="3">
        <v>3</v>
      </c>
      <c r="D94" s="3">
        <v>29</v>
      </c>
      <c r="E94" s="3">
        <f t="shared" si="11"/>
        <v>1</v>
      </c>
      <c r="F94" s="4" t="str">
        <f>IF($E94=참조!$B$2,참조!$C$2,IF($E94=참조!$B$3,참조!$C$3,IF($E94=참조!$B$4,참조!$C$4,IF($E94=참조!$B$5,참조!$C$5,IF($E94=참조!$B$6,참조!$C$6,IF($E94=참조!$B$7,참조!$C$7,IF($E94=참조!$B$8,참조!$C$8,"")))))))</f>
        <v>日</v>
      </c>
      <c r="G94" s="4" t="str">
        <f>IF($F94=참조!$C$2,참조!$D$2,IF($F94=참조!$C$8,참조!$D$2,IF(COUNTIF('2026년휴일'!$B:$B,$B94)&gt;0,참조!$D$2,참조!$D$3)))</f>
        <v>休</v>
      </c>
      <c r="H94" s="31">
        <f>IF($G94=참조!$D$3,참조!$E$3,참조!$E$2)</f>
        <v>5000</v>
      </c>
      <c r="I94" s="31">
        <f>SUMIFS(지출기록_3월!$H$3:$H$312,지출기록_3월!$E$3:$E$312,B94,지출기록_3월!$F$3:$F$312,참조!$F$2)</f>
        <v>0</v>
      </c>
      <c r="J94" s="31">
        <f>SUMIFS(지출기록_3월!$H$3:$H$312,지출기록_3월!$E$3:$E$312,B94,지출기록_3월!$F$3:$F$312,참조!$F$3)</f>
        <v>0</v>
      </c>
      <c r="K94" s="31">
        <f t="shared" si="16"/>
        <v>0</v>
      </c>
      <c r="L94" s="31">
        <f t="shared" ca="1" si="13"/>
        <v>0</v>
      </c>
      <c r="M94" s="31">
        <f t="shared" si="14"/>
        <v>5000</v>
      </c>
    </row>
    <row r="95" spans="2:13" x14ac:dyDescent="0.3">
      <c r="B95" s="5">
        <f t="shared" si="12"/>
        <v>46111</v>
      </c>
      <c r="C95" s="3">
        <v>3</v>
      </c>
      <c r="D95" s="3">
        <v>30</v>
      </c>
      <c r="E95" s="3">
        <f t="shared" si="11"/>
        <v>2</v>
      </c>
      <c r="F95" s="4" t="str">
        <f>IF($E95=참조!$B$2,참조!$C$2,IF($E95=참조!$B$3,참조!$C$3,IF($E95=참조!$B$4,참조!$C$4,IF($E95=참조!$B$5,참조!$C$5,IF($E95=참조!$B$6,참조!$C$6,IF($E95=참조!$B$7,참조!$C$7,IF($E95=참조!$B$8,참조!$C$8,"")))))))</f>
        <v>月</v>
      </c>
      <c r="G95" s="4" t="str">
        <f>IF($F95=참조!$C$2,참조!$D$2,IF($F95=참조!$C$8,참조!$D$2,IF(COUNTIF('2026년휴일'!$B:$B,$B95)&gt;0,참조!$D$2,참조!$D$3)))</f>
        <v>勤</v>
      </c>
      <c r="H95" s="31">
        <f>IF($G95=참조!$D$3,참조!$E$3,참조!$E$2)</f>
        <v>1000</v>
      </c>
      <c r="I95" s="31">
        <f>SUMIFS(지출기록_3월!$H$3:$H$312,지출기록_3월!$E$3:$E$312,B95,지출기록_3월!$F$3:$F$312,참조!$F$2)</f>
        <v>0</v>
      </c>
      <c r="J95" s="31">
        <f>SUMIFS(지출기록_3월!$H$3:$H$312,지출기록_3월!$E$3:$E$312,B95,지출기록_3월!$F$3:$F$312,참조!$F$3)</f>
        <v>0</v>
      </c>
      <c r="K95" s="31">
        <f t="shared" si="16"/>
        <v>0</v>
      </c>
      <c r="L95" s="31">
        <f t="shared" ca="1" si="13"/>
        <v>0</v>
      </c>
      <c r="M95" s="31">
        <f t="shared" si="14"/>
        <v>1000</v>
      </c>
    </row>
    <row r="96" spans="2:13" x14ac:dyDescent="0.3">
      <c r="B96" s="5">
        <f t="shared" si="12"/>
        <v>46112</v>
      </c>
      <c r="C96" s="3">
        <v>3</v>
      </c>
      <c r="D96" s="3">
        <v>31</v>
      </c>
      <c r="E96" s="3">
        <f t="shared" si="11"/>
        <v>3</v>
      </c>
      <c r="F96" s="4" t="str">
        <f>IF($E96=참조!$B$2,참조!$C$2,IF($E96=참조!$B$3,참조!$C$3,IF($E96=참조!$B$4,참조!$C$4,IF($E96=참조!$B$5,참조!$C$5,IF($E96=참조!$B$6,참조!$C$6,IF($E96=참조!$B$7,참조!$C$7,IF($E96=참조!$B$8,참조!$C$8,"")))))))</f>
        <v>火</v>
      </c>
      <c r="G96" s="4" t="str">
        <f>IF($F96=참조!$C$2,참조!$D$2,IF($F96=참조!$C$8,참조!$D$2,IF(COUNTIF('2026년휴일'!$B:$B,$B96)&gt;0,참조!$D$2,참조!$D$3)))</f>
        <v>勤</v>
      </c>
      <c r="H96" s="31">
        <f>IF($G96=참조!$D$3,참조!$E$3,참조!$E$2)</f>
        <v>1000</v>
      </c>
      <c r="I96" s="31">
        <f>SUMIFS(지출기록_3월!$H$3:$H$312,지출기록_3월!$E$3:$E$312,B96,지출기록_3월!$F$3:$F$312,참조!$F$2)</f>
        <v>0</v>
      </c>
      <c r="J96" s="31">
        <f>SUMIFS(지출기록_3월!$H$3:$H$312,지출기록_3월!$E$3:$E$312,B96,지출기록_3월!$F$3:$F$312,참조!$F$3)</f>
        <v>0</v>
      </c>
      <c r="K96" s="31">
        <f t="shared" si="16"/>
        <v>0</v>
      </c>
      <c r="L96" s="31">
        <f t="shared" ca="1" si="13"/>
        <v>0</v>
      </c>
      <c r="M96" s="31">
        <f t="shared" si="14"/>
        <v>1000</v>
      </c>
    </row>
    <row r="97" spans="2:13" x14ac:dyDescent="0.3">
      <c r="B97" s="5">
        <f t="shared" si="12"/>
        <v>46113</v>
      </c>
      <c r="C97" s="3">
        <v>4</v>
      </c>
      <c r="D97" s="3">
        <v>1</v>
      </c>
      <c r="E97" s="3">
        <f t="shared" si="11"/>
        <v>4</v>
      </c>
      <c r="F97" s="4" t="str">
        <f>IF($E97=참조!$B$2,참조!$C$2,IF($E97=참조!$B$3,참조!$C$3,IF($E97=참조!$B$4,참조!$C$4,IF($E97=참조!$B$5,참조!$C$5,IF($E97=참조!$B$6,참조!$C$6,IF($E97=참조!$B$7,참조!$C$7,IF($E97=참조!$B$8,참조!$C$8,"")))))))</f>
        <v>水</v>
      </c>
      <c r="G97" s="4" t="str">
        <f>IF($F97=참조!$C$2,참조!$D$2,IF($F97=참조!$C$8,참조!$D$2,IF(COUNTIF('2026년휴일'!$B:$B,$B97)&gt;0,참조!$D$2,참조!$D$3)))</f>
        <v>勤</v>
      </c>
      <c r="H97" s="31">
        <f>IF($G97=참조!$D$3,참조!$E$3,참조!$E$2)</f>
        <v>1000</v>
      </c>
      <c r="I97" s="31">
        <f>SUMIFS(지출기록_4월!$H$3:$H$312,지출기록_4월!$E$3:$E$312,B97,지출기록_4월!$F$3:$F$312,참조!$F$2)</f>
        <v>0</v>
      </c>
      <c r="J97" s="31">
        <f>SUMIFS(지출기록_4월!$H$3:$H$312,지출기록_4월!$E$3:$E$312,B97,지출기록_4월!$F$3:$F$312,참조!$F$3)</f>
        <v>0</v>
      </c>
      <c r="K97" s="31">
        <f t="shared" si="16"/>
        <v>0</v>
      </c>
      <c r="L97" s="31">
        <f t="shared" ca="1" si="13"/>
        <v>0</v>
      </c>
      <c r="M97" s="31">
        <f t="shared" si="14"/>
        <v>1000</v>
      </c>
    </row>
    <row r="98" spans="2:13" x14ac:dyDescent="0.3">
      <c r="B98" s="5">
        <f t="shared" si="12"/>
        <v>46114</v>
      </c>
      <c r="C98" s="3">
        <v>4</v>
      </c>
      <c r="D98" s="3">
        <v>2</v>
      </c>
      <c r="E98" s="3">
        <f t="shared" si="11"/>
        <v>5</v>
      </c>
      <c r="F98" s="4" t="str">
        <f>IF($E98=참조!$B$2,참조!$C$2,IF($E98=참조!$B$3,참조!$C$3,IF($E98=참조!$B$4,참조!$C$4,IF($E98=참조!$B$5,참조!$C$5,IF($E98=참조!$B$6,참조!$C$6,IF($E98=참조!$B$7,참조!$C$7,IF($E98=참조!$B$8,참조!$C$8,"")))))))</f>
        <v>木</v>
      </c>
      <c r="G98" s="4" t="str">
        <f>IF($F98=참조!$C$2,참조!$D$2,IF($F98=참조!$C$8,참조!$D$2,IF(COUNTIF('2026년휴일'!$B:$B,$B98)&gt;0,참조!$D$2,참조!$D$3)))</f>
        <v>勤</v>
      </c>
      <c r="H98" s="31">
        <f>IF($G98=참조!$D$3,참조!$E$3,참조!$E$2)</f>
        <v>1000</v>
      </c>
      <c r="I98" s="31">
        <f>SUMIFS(지출기록_4월!$H$3:$H$312,지출기록_4월!$E$3:$E$312,B98,지출기록_4월!$F$3:$F$312,참조!$F$2)</f>
        <v>0</v>
      </c>
      <c r="J98" s="31">
        <f>SUMIFS(지출기록_4월!$H$3:$H$312,지출기록_4월!$E$3:$E$312,B98,지출기록_4월!$F$3:$F$312,참조!$F$3)</f>
        <v>0</v>
      </c>
      <c r="K98" s="31">
        <f t="shared" si="16"/>
        <v>0</v>
      </c>
      <c r="L98" s="31">
        <f t="shared" ca="1" si="13"/>
        <v>0</v>
      </c>
      <c r="M98" s="31">
        <f t="shared" si="14"/>
        <v>1000</v>
      </c>
    </row>
    <row r="99" spans="2:13" x14ac:dyDescent="0.3">
      <c r="B99" s="5">
        <f t="shared" si="12"/>
        <v>46115</v>
      </c>
      <c r="C99" s="3">
        <v>4</v>
      </c>
      <c r="D99" s="3">
        <v>3</v>
      </c>
      <c r="E99" s="3">
        <f t="shared" si="11"/>
        <v>6</v>
      </c>
      <c r="F99" s="4" t="str">
        <f>IF($E99=참조!$B$2,참조!$C$2,IF($E99=참조!$B$3,참조!$C$3,IF($E99=참조!$B$4,참조!$C$4,IF($E99=참조!$B$5,참조!$C$5,IF($E99=참조!$B$6,참조!$C$6,IF($E99=참조!$B$7,참조!$C$7,IF($E99=참조!$B$8,참조!$C$8,"")))))))</f>
        <v>金</v>
      </c>
      <c r="G99" s="4" t="str">
        <f>IF($F99=참조!$C$2,참조!$D$2,IF($F99=참조!$C$8,참조!$D$2,IF(COUNTIF('2026년휴일'!$B:$B,$B99)&gt;0,참조!$D$2,참조!$D$3)))</f>
        <v>勤</v>
      </c>
      <c r="H99" s="31">
        <f>IF($G99=참조!$D$3,참조!$E$3,참조!$E$2)</f>
        <v>1000</v>
      </c>
      <c r="I99" s="31">
        <f>SUMIFS(지출기록_4월!$H$3:$H$312,지출기록_4월!$E$3:$E$312,B99,지출기록_4월!$F$3:$F$312,참조!$F$2)</f>
        <v>0</v>
      </c>
      <c r="J99" s="31">
        <f>SUMIFS(지출기록_4월!$H$3:$H$312,지출기록_4월!$E$3:$E$312,B99,지출기록_4월!$F$3:$F$312,참조!$F$3)</f>
        <v>0</v>
      </c>
      <c r="K99" s="31">
        <f t="shared" si="16"/>
        <v>0</v>
      </c>
      <c r="L99" s="31">
        <f t="shared" ca="1" si="13"/>
        <v>0</v>
      </c>
      <c r="M99" s="31">
        <f t="shared" si="14"/>
        <v>1000</v>
      </c>
    </row>
    <row r="100" spans="2:13" x14ac:dyDescent="0.3">
      <c r="B100" s="5">
        <f t="shared" si="12"/>
        <v>46116</v>
      </c>
      <c r="C100" s="3">
        <v>4</v>
      </c>
      <c r="D100" s="3">
        <v>4</v>
      </c>
      <c r="E100" s="3">
        <f t="shared" si="11"/>
        <v>7</v>
      </c>
      <c r="F100" s="4" t="str">
        <f>IF($E100=참조!$B$2,참조!$C$2,IF($E100=참조!$B$3,참조!$C$3,IF($E100=참조!$B$4,참조!$C$4,IF($E100=참조!$B$5,참조!$C$5,IF($E100=참조!$B$6,참조!$C$6,IF($E100=참조!$B$7,참조!$C$7,IF($E100=참조!$B$8,참조!$C$8,"")))))))</f>
        <v>土</v>
      </c>
      <c r="G100" s="4" t="str">
        <f>IF($F100=참조!$C$2,참조!$D$2,IF($F100=참조!$C$8,참조!$D$2,IF(COUNTIF('2026년휴일'!$B:$B,$B100)&gt;0,참조!$D$2,참조!$D$3)))</f>
        <v>休</v>
      </c>
      <c r="H100" s="31">
        <f>IF($G100=참조!$D$3,참조!$E$3,참조!$E$2)</f>
        <v>5000</v>
      </c>
      <c r="I100" s="31">
        <f>SUMIFS(지출기록_4월!$H$3:$H$312,지출기록_4월!$E$3:$E$312,B100,지출기록_4월!$F$3:$F$312,참조!$F$2)</f>
        <v>0</v>
      </c>
      <c r="J100" s="31">
        <f>SUMIFS(지출기록_4월!$H$3:$H$312,지출기록_4월!$E$3:$E$312,B100,지출기록_4월!$F$3:$F$312,참조!$F$3)</f>
        <v>0</v>
      </c>
      <c r="K100" s="31">
        <f t="shared" si="16"/>
        <v>0</v>
      </c>
      <c r="L100" s="31">
        <f t="shared" ca="1" si="13"/>
        <v>0</v>
      </c>
      <c r="M100" s="31">
        <f t="shared" si="14"/>
        <v>5000</v>
      </c>
    </row>
    <row r="101" spans="2:13" x14ac:dyDescent="0.3">
      <c r="B101" s="5">
        <f t="shared" si="12"/>
        <v>46117</v>
      </c>
      <c r="C101" s="3">
        <v>4</v>
      </c>
      <c r="D101" s="3">
        <v>5</v>
      </c>
      <c r="E101" s="3">
        <f t="shared" si="11"/>
        <v>1</v>
      </c>
      <c r="F101" s="4" t="str">
        <f>IF($E101=참조!$B$2,참조!$C$2,IF($E101=참조!$B$3,참조!$C$3,IF($E101=참조!$B$4,참조!$C$4,IF($E101=참조!$B$5,참조!$C$5,IF($E101=참조!$B$6,참조!$C$6,IF($E101=참조!$B$7,참조!$C$7,IF($E101=참조!$B$8,참조!$C$8,"")))))))</f>
        <v>日</v>
      </c>
      <c r="G101" s="4" t="str">
        <f>IF($F101=참조!$C$2,참조!$D$2,IF($F101=참조!$C$8,참조!$D$2,IF(COUNTIF('2026년휴일'!$B:$B,$B101)&gt;0,참조!$D$2,참조!$D$3)))</f>
        <v>休</v>
      </c>
      <c r="H101" s="31">
        <f>IF($G101=참조!$D$3,참조!$E$3,참조!$E$2)</f>
        <v>5000</v>
      </c>
      <c r="I101" s="31">
        <f>SUMIFS(지출기록_4월!$H$3:$H$312,지출기록_4월!$E$3:$E$312,B101,지출기록_4월!$F$3:$F$312,참조!$F$2)</f>
        <v>0</v>
      </c>
      <c r="J101" s="31">
        <f>SUMIFS(지출기록_4월!$H$3:$H$312,지출기록_4월!$E$3:$E$312,B101,지출기록_4월!$F$3:$F$312,참조!$F$3)</f>
        <v>0</v>
      </c>
      <c r="K101" s="31">
        <f t="shared" si="16"/>
        <v>0</v>
      </c>
      <c r="L101" s="31">
        <f t="shared" ca="1" si="13"/>
        <v>0</v>
      </c>
      <c r="M101" s="31">
        <f t="shared" si="14"/>
        <v>5000</v>
      </c>
    </row>
    <row r="102" spans="2:13" x14ac:dyDescent="0.3">
      <c r="B102" s="5">
        <f t="shared" si="12"/>
        <v>46118</v>
      </c>
      <c r="C102" s="3">
        <v>4</v>
      </c>
      <c r="D102" s="3">
        <v>6</v>
      </c>
      <c r="E102" s="3">
        <f t="shared" si="11"/>
        <v>2</v>
      </c>
      <c r="F102" s="4" t="str">
        <f>IF($E102=참조!$B$2,참조!$C$2,IF($E102=참조!$B$3,참조!$C$3,IF($E102=참조!$B$4,참조!$C$4,IF($E102=참조!$B$5,참조!$C$5,IF($E102=참조!$B$6,참조!$C$6,IF($E102=참조!$B$7,참조!$C$7,IF($E102=참조!$B$8,참조!$C$8,"")))))))</f>
        <v>月</v>
      </c>
      <c r="G102" s="4" t="str">
        <f>IF($F102=참조!$C$2,참조!$D$2,IF($F102=참조!$C$8,참조!$D$2,IF(COUNTIF('2026년휴일'!$B:$B,$B102)&gt;0,참조!$D$2,참조!$D$3)))</f>
        <v>勤</v>
      </c>
      <c r="H102" s="31">
        <f>IF($G102=참조!$D$3,참조!$E$3,참조!$E$2)</f>
        <v>1000</v>
      </c>
      <c r="I102" s="31">
        <f>SUMIFS(지출기록_4월!$H$3:$H$312,지출기록_4월!$E$3:$E$312,B102,지출기록_4월!$F$3:$F$312,참조!$F$2)</f>
        <v>0</v>
      </c>
      <c r="J102" s="31">
        <f>SUMIFS(지출기록_4월!$H$3:$H$312,지출기록_4월!$E$3:$E$312,B102,지출기록_4월!$F$3:$F$312,참조!$F$3)</f>
        <v>0</v>
      </c>
      <c r="K102" s="31">
        <f t="shared" ref="K102:K127" si="17">I102-J102</f>
        <v>0</v>
      </c>
      <c r="L102" s="31">
        <f t="shared" ca="1" si="13"/>
        <v>0</v>
      </c>
      <c r="M102" s="31">
        <f t="shared" si="14"/>
        <v>1000</v>
      </c>
    </row>
    <row r="103" spans="2:13" x14ac:dyDescent="0.3">
      <c r="B103" s="5">
        <f t="shared" si="12"/>
        <v>46119</v>
      </c>
      <c r="C103" s="3">
        <v>4</v>
      </c>
      <c r="D103" s="3">
        <v>7</v>
      </c>
      <c r="E103" s="3">
        <f t="shared" si="11"/>
        <v>3</v>
      </c>
      <c r="F103" s="4" t="str">
        <f>IF($E103=참조!$B$2,참조!$C$2,IF($E103=참조!$B$3,참조!$C$3,IF($E103=참조!$B$4,참조!$C$4,IF($E103=참조!$B$5,참조!$C$5,IF($E103=참조!$B$6,참조!$C$6,IF($E103=참조!$B$7,참조!$C$7,IF($E103=참조!$B$8,참조!$C$8,"")))))))</f>
        <v>火</v>
      </c>
      <c r="G103" s="4" t="str">
        <f>IF($F103=참조!$C$2,참조!$D$2,IF($F103=참조!$C$8,참조!$D$2,IF(COUNTIF('2026년휴일'!$B:$B,$B103)&gt;0,참조!$D$2,참조!$D$3)))</f>
        <v>勤</v>
      </c>
      <c r="H103" s="31">
        <f>IF($G103=참조!$D$3,참조!$E$3,참조!$E$2)</f>
        <v>1000</v>
      </c>
      <c r="I103" s="31">
        <f>SUMIFS(지출기록_4월!$H$3:$H$312,지출기록_4월!$E$3:$E$312,B103,지출기록_4월!$F$3:$F$312,참조!$F$2)</f>
        <v>0</v>
      </c>
      <c r="J103" s="31">
        <f>SUMIFS(지출기록_4월!$H$3:$H$312,지출기록_4월!$E$3:$E$312,B103,지출기록_4월!$F$3:$F$312,참조!$F$3)</f>
        <v>0</v>
      </c>
      <c r="K103" s="31">
        <f t="shared" si="17"/>
        <v>0</v>
      </c>
      <c r="L103" s="31">
        <f t="shared" ca="1" si="13"/>
        <v>0</v>
      </c>
      <c r="M103" s="31">
        <f t="shared" si="14"/>
        <v>1000</v>
      </c>
    </row>
    <row r="104" spans="2:13" x14ac:dyDescent="0.3">
      <c r="B104" s="5">
        <f t="shared" si="12"/>
        <v>46120</v>
      </c>
      <c r="C104" s="3">
        <v>4</v>
      </c>
      <c r="D104" s="3">
        <v>8</v>
      </c>
      <c r="E104" s="3">
        <f t="shared" si="11"/>
        <v>4</v>
      </c>
      <c r="F104" s="4" t="str">
        <f>IF($E104=참조!$B$2,참조!$C$2,IF($E104=참조!$B$3,참조!$C$3,IF($E104=참조!$B$4,참조!$C$4,IF($E104=참조!$B$5,참조!$C$5,IF($E104=참조!$B$6,참조!$C$6,IF($E104=참조!$B$7,참조!$C$7,IF($E104=참조!$B$8,참조!$C$8,"")))))))</f>
        <v>水</v>
      </c>
      <c r="G104" s="4" t="str">
        <f>IF($F104=참조!$C$2,참조!$D$2,IF($F104=참조!$C$8,참조!$D$2,IF(COUNTIF('2026년휴일'!$B:$B,$B104)&gt;0,참조!$D$2,참조!$D$3)))</f>
        <v>勤</v>
      </c>
      <c r="H104" s="31">
        <f>IF($G104=참조!$D$3,참조!$E$3,참조!$E$2)</f>
        <v>1000</v>
      </c>
      <c r="I104" s="31">
        <f>SUMIFS(지출기록_4월!$H$3:$H$312,지출기록_4월!$E$3:$E$312,B104,지출기록_4월!$F$3:$F$312,참조!$F$2)</f>
        <v>0</v>
      </c>
      <c r="J104" s="31">
        <f>SUMIFS(지출기록_4월!$H$3:$H$312,지출기록_4월!$E$3:$E$312,B104,지출기록_4월!$F$3:$F$312,참조!$F$3)</f>
        <v>0</v>
      </c>
      <c r="K104" s="31">
        <f t="shared" si="17"/>
        <v>0</v>
      </c>
      <c r="L104" s="31">
        <f t="shared" ca="1" si="13"/>
        <v>0</v>
      </c>
      <c r="M104" s="31">
        <f t="shared" si="14"/>
        <v>1000</v>
      </c>
    </row>
    <row r="105" spans="2:13" x14ac:dyDescent="0.3">
      <c r="B105" s="5">
        <f t="shared" si="12"/>
        <v>46121</v>
      </c>
      <c r="C105" s="3">
        <v>4</v>
      </c>
      <c r="D105" s="3">
        <v>9</v>
      </c>
      <c r="E105" s="3">
        <f t="shared" si="11"/>
        <v>5</v>
      </c>
      <c r="F105" s="4" t="str">
        <f>IF($E105=참조!$B$2,참조!$C$2,IF($E105=참조!$B$3,참조!$C$3,IF($E105=참조!$B$4,참조!$C$4,IF($E105=참조!$B$5,참조!$C$5,IF($E105=참조!$B$6,참조!$C$6,IF($E105=참조!$B$7,참조!$C$7,IF($E105=참조!$B$8,참조!$C$8,"")))))))</f>
        <v>木</v>
      </c>
      <c r="G105" s="4" t="str">
        <f>IF($F105=참조!$C$2,참조!$D$2,IF($F105=참조!$C$8,참조!$D$2,IF(COUNTIF('2026년휴일'!$B:$B,$B105)&gt;0,참조!$D$2,참조!$D$3)))</f>
        <v>勤</v>
      </c>
      <c r="H105" s="31">
        <f>IF($G105=참조!$D$3,참조!$E$3,참조!$E$2)</f>
        <v>1000</v>
      </c>
      <c r="I105" s="31">
        <f>SUMIFS(지출기록_4월!$H$3:$H$312,지출기록_4월!$E$3:$E$312,B105,지출기록_4월!$F$3:$F$312,참조!$F$2)</f>
        <v>0</v>
      </c>
      <c r="J105" s="31">
        <f>SUMIFS(지출기록_4월!$H$3:$H$312,지출기록_4월!$E$3:$E$312,B105,지출기록_4월!$F$3:$F$312,참조!$F$3)</f>
        <v>0</v>
      </c>
      <c r="K105" s="31">
        <f t="shared" si="17"/>
        <v>0</v>
      </c>
      <c r="L105" s="31">
        <f t="shared" ca="1" si="13"/>
        <v>0</v>
      </c>
      <c r="M105" s="31">
        <f t="shared" si="14"/>
        <v>1000</v>
      </c>
    </row>
    <row r="106" spans="2:13" x14ac:dyDescent="0.3">
      <c r="B106" s="5">
        <f t="shared" si="12"/>
        <v>46122</v>
      </c>
      <c r="C106" s="3">
        <v>4</v>
      </c>
      <c r="D106" s="3">
        <v>10</v>
      </c>
      <c r="E106" s="3">
        <f t="shared" si="11"/>
        <v>6</v>
      </c>
      <c r="F106" s="4" t="str">
        <f>IF($E106=참조!$B$2,참조!$C$2,IF($E106=참조!$B$3,참조!$C$3,IF($E106=참조!$B$4,참조!$C$4,IF($E106=참조!$B$5,참조!$C$5,IF($E106=참조!$B$6,참조!$C$6,IF($E106=참조!$B$7,참조!$C$7,IF($E106=참조!$B$8,참조!$C$8,"")))))))</f>
        <v>金</v>
      </c>
      <c r="G106" s="4" t="str">
        <f>IF($F106=참조!$C$2,참조!$D$2,IF($F106=참조!$C$8,참조!$D$2,IF(COUNTIF('2026년휴일'!$B:$B,$B106)&gt;0,참조!$D$2,참조!$D$3)))</f>
        <v>勤</v>
      </c>
      <c r="H106" s="31">
        <f>IF($G106=참조!$D$3,참조!$E$3,참조!$E$2)</f>
        <v>1000</v>
      </c>
      <c r="I106" s="31">
        <f>SUMIFS(지출기록_4월!$H$3:$H$312,지출기록_4월!$E$3:$E$312,B106,지출기록_4월!$F$3:$F$312,참조!$F$2)</f>
        <v>0</v>
      </c>
      <c r="J106" s="31">
        <f>SUMIFS(지출기록_4월!$H$3:$H$312,지출기록_4월!$E$3:$E$312,B106,지출기록_4월!$F$3:$F$312,참조!$F$3)</f>
        <v>0</v>
      </c>
      <c r="K106" s="31">
        <f t="shared" si="17"/>
        <v>0</v>
      </c>
      <c r="L106" s="31">
        <f t="shared" ca="1" si="13"/>
        <v>0</v>
      </c>
      <c r="M106" s="31">
        <f t="shared" si="14"/>
        <v>1000</v>
      </c>
    </row>
    <row r="107" spans="2:13" x14ac:dyDescent="0.3">
      <c r="B107" s="5">
        <f t="shared" si="12"/>
        <v>46123</v>
      </c>
      <c r="C107" s="3">
        <v>4</v>
      </c>
      <c r="D107" s="3">
        <v>11</v>
      </c>
      <c r="E107" s="3">
        <f t="shared" si="11"/>
        <v>7</v>
      </c>
      <c r="F107" s="4" t="str">
        <f>IF($E107=참조!$B$2,참조!$C$2,IF($E107=참조!$B$3,참조!$C$3,IF($E107=참조!$B$4,참조!$C$4,IF($E107=참조!$B$5,참조!$C$5,IF($E107=참조!$B$6,참조!$C$6,IF($E107=참조!$B$7,참조!$C$7,IF($E107=참조!$B$8,참조!$C$8,"")))))))</f>
        <v>土</v>
      </c>
      <c r="G107" s="4" t="str">
        <f>IF($F107=참조!$C$2,참조!$D$2,IF($F107=참조!$C$8,참조!$D$2,IF(COUNTIF('2026년휴일'!$B:$B,$B107)&gt;0,참조!$D$2,참조!$D$3)))</f>
        <v>休</v>
      </c>
      <c r="H107" s="31">
        <f>IF($G107=참조!$D$3,참조!$E$3,참조!$E$2)</f>
        <v>5000</v>
      </c>
      <c r="I107" s="31">
        <f>SUMIFS(지출기록_4월!$H$3:$H$312,지출기록_4월!$E$3:$E$312,B107,지출기록_4월!$F$3:$F$312,참조!$F$2)</f>
        <v>0</v>
      </c>
      <c r="J107" s="31">
        <f>SUMIFS(지출기록_4월!$H$3:$H$312,지출기록_4월!$E$3:$E$312,B107,지출기록_4월!$F$3:$F$312,참조!$F$3)</f>
        <v>0</v>
      </c>
      <c r="K107" s="31">
        <f t="shared" si="17"/>
        <v>0</v>
      </c>
      <c r="L107" s="31">
        <f t="shared" ca="1" si="13"/>
        <v>0</v>
      </c>
      <c r="M107" s="31">
        <f t="shared" si="14"/>
        <v>5000</v>
      </c>
    </row>
    <row r="108" spans="2:13" x14ac:dyDescent="0.3">
      <c r="B108" s="5">
        <f t="shared" si="12"/>
        <v>46124</v>
      </c>
      <c r="C108" s="3">
        <v>4</v>
      </c>
      <c r="D108" s="3">
        <v>12</v>
      </c>
      <c r="E108" s="3">
        <f t="shared" si="11"/>
        <v>1</v>
      </c>
      <c r="F108" s="4" t="str">
        <f>IF($E108=참조!$B$2,참조!$C$2,IF($E108=참조!$B$3,참조!$C$3,IF($E108=참조!$B$4,참조!$C$4,IF($E108=참조!$B$5,참조!$C$5,IF($E108=참조!$B$6,참조!$C$6,IF($E108=참조!$B$7,참조!$C$7,IF($E108=참조!$B$8,참조!$C$8,"")))))))</f>
        <v>日</v>
      </c>
      <c r="G108" s="4" t="str">
        <f>IF($F108=참조!$C$2,참조!$D$2,IF($F108=참조!$C$8,참조!$D$2,IF(COUNTIF('2026년휴일'!$B:$B,$B108)&gt;0,참조!$D$2,참조!$D$3)))</f>
        <v>休</v>
      </c>
      <c r="H108" s="31">
        <f>IF($G108=참조!$D$3,참조!$E$3,참조!$E$2)</f>
        <v>5000</v>
      </c>
      <c r="I108" s="31">
        <f>SUMIFS(지출기록_4월!$H$3:$H$312,지출기록_4월!$E$3:$E$312,B108,지출기록_4월!$F$3:$F$312,참조!$F$2)</f>
        <v>0</v>
      </c>
      <c r="J108" s="31">
        <f>SUMIFS(지출기록_4월!$H$3:$H$312,지출기록_4월!$E$3:$E$312,B108,지출기록_4월!$F$3:$F$312,참조!$F$3)</f>
        <v>0</v>
      </c>
      <c r="K108" s="31">
        <f t="shared" si="17"/>
        <v>0</v>
      </c>
      <c r="L108" s="31">
        <f t="shared" ca="1" si="13"/>
        <v>0</v>
      </c>
      <c r="M108" s="31">
        <f t="shared" si="14"/>
        <v>5000</v>
      </c>
    </row>
    <row r="109" spans="2:13" x14ac:dyDescent="0.3">
      <c r="B109" s="5">
        <f t="shared" si="12"/>
        <v>46125</v>
      </c>
      <c r="C109" s="3">
        <v>4</v>
      </c>
      <c r="D109" s="3">
        <v>13</v>
      </c>
      <c r="E109" s="3">
        <f t="shared" si="11"/>
        <v>2</v>
      </c>
      <c r="F109" s="4" t="str">
        <f>IF($E109=참조!$B$2,참조!$C$2,IF($E109=참조!$B$3,참조!$C$3,IF($E109=참조!$B$4,참조!$C$4,IF($E109=참조!$B$5,참조!$C$5,IF($E109=참조!$B$6,참조!$C$6,IF($E109=참조!$B$7,참조!$C$7,IF($E109=참조!$B$8,참조!$C$8,"")))))))</f>
        <v>月</v>
      </c>
      <c r="G109" s="4" t="str">
        <f>IF($F109=참조!$C$2,참조!$D$2,IF($F109=참조!$C$8,참조!$D$2,IF(COUNTIF('2026년휴일'!$B:$B,$B109)&gt;0,참조!$D$2,참조!$D$3)))</f>
        <v>勤</v>
      </c>
      <c r="H109" s="31">
        <f>IF($G109=참조!$D$3,참조!$E$3,참조!$E$2)</f>
        <v>1000</v>
      </c>
      <c r="I109" s="31">
        <f>SUMIFS(지출기록_4월!$H$3:$H$312,지출기록_4월!$E$3:$E$312,B109,지출기록_4월!$F$3:$F$312,참조!$F$2)</f>
        <v>0</v>
      </c>
      <c r="J109" s="31">
        <f>SUMIFS(지출기록_4월!$H$3:$H$312,지출기록_4월!$E$3:$E$312,B109,지출기록_4월!$F$3:$F$312,참조!$F$3)</f>
        <v>0</v>
      </c>
      <c r="K109" s="31">
        <f t="shared" si="17"/>
        <v>0</v>
      </c>
      <c r="L109" s="31">
        <f t="shared" ca="1" si="13"/>
        <v>0</v>
      </c>
      <c r="M109" s="31">
        <f t="shared" si="14"/>
        <v>1000</v>
      </c>
    </row>
    <row r="110" spans="2:13" x14ac:dyDescent="0.3">
      <c r="B110" s="5">
        <f t="shared" si="12"/>
        <v>46126</v>
      </c>
      <c r="C110" s="3">
        <v>4</v>
      </c>
      <c r="D110" s="3">
        <v>14</v>
      </c>
      <c r="E110" s="3">
        <f t="shared" si="11"/>
        <v>3</v>
      </c>
      <c r="F110" s="4" t="str">
        <f>IF($E110=참조!$B$2,참조!$C$2,IF($E110=참조!$B$3,참조!$C$3,IF($E110=참조!$B$4,참조!$C$4,IF($E110=참조!$B$5,참조!$C$5,IF($E110=참조!$B$6,참조!$C$6,IF($E110=참조!$B$7,참조!$C$7,IF($E110=참조!$B$8,참조!$C$8,"")))))))</f>
        <v>火</v>
      </c>
      <c r="G110" s="4" t="str">
        <f>IF($F110=참조!$C$2,참조!$D$2,IF($F110=참조!$C$8,참조!$D$2,IF(COUNTIF('2026년휴일'!$B:$B,$B110)&gt;0,참조!$D$2,참조!$D$3)))</f>
        <v>勤</v>
      </c>
      <c r="H110" s="31">
        <f>IF($G110=참조!$D$3,참조!$E$3,참조!$E$2)</f>
        <v>1000</v>
      </c>
      <c r="I110" s="31">
        <f>SUMIFS(지출기록_4월!$H$3:$H$312,지출기록_4월!$E$3:$E$312,B110,지출기록_4월!$F$3:$F$312,참조!$F$2)</f>
        <v>0</v>
      </c>
      <c r="J110" s="31">
        <f>SUMIFS(지출기록_4월!$H$3:$H$312,지출기록_4월!$E$3:$E$312,B110,지출기록_4월!$F$3:$F$312,참조!$F$3)</f>
        <v>0</v>
      </c>
      <c r="K110" s="31">
        <f t="shared" si="17"/>
        <v>0</v>
      </c>
      <c r="L110" s="31">
        <f t="shared" ca="1" si="13"/>
        <v>0</v>
      </c>
      <c r="M110" s="31">
        <f t="shared" si="14"/>
        <v>1000</v>
      </c>
    </row>
    <row r="111" spans="2:13" x14ac:dyDescent="0.3">
      <c r="B111" s="5">
        <f t="shared" si="12"/>
        <v>46127</v>
      </c>
      <c r="C111" s="3">
        <v>4</v>
      </c>
      <c r="D111" s="3">
        <v>15</v>
      </c>
      <c r="E111" s="3">
        <f t="shared" si="11"/>
        <v>4</v>
      </c>
      <c r="F111" s="4" t="str">
        <f>IF($E111=참조!$B$2,참조!$C$2,IF($E111=참조!$B$3,참조!$C$3,IF($E111=참조!$B$4,참조!$C$4,IF($E111=참조!$B$5,참조!$C$5,IF($E111=참조!$B$6,참조!$C$6,IF($E111=참조!$B$7,참조!$C$7,IF($E111=참조!$B$8,참조!$C$8,"")))))))</f>
        <v>水</v>
      </c>
      <c r="G111" s="4" t="str">
        <f>IF($F111=참조!$C$2,참조!$D$2,IF($F111=참조!$C$8,참조!$D$2,IF(COUNTIF('2026년휴일'!$B:$B,$B111)&gt;0,참조!$D$2,참조!$D$3)))</f>
        <v>勤</v>
      </c>
      <c r="H111" s="31">
        <f>IF($G111=참조!$D$3,참조!$E$3,참조!$E$2)</f>
        <v>1000</v>
      </c>
      <c r="I111" s="31">
        <f>SUMIFS(지출기록_4월!$H$3:$H$312,지출기록_4월!$E$3:$E$312,B111,지출기록_4월!$F$3:$F$312,참조!$F$2)</f>
        <v>0</v>
      </c>
      <c r="J111" s="31">
        <f>SUMIFS(지출기록_4월!$H$3:$H$312,지출기록_4월!$E$3:$E$312,B111,지출기록_4월!$F$3:$F$312,참조!$F$3)</f>
        <v>0</v>
      </c>
      <c r="K111" s="31">
        <f t="shared" si="17"/>
        <v>0</v>
      </c>
      <c r="L111" s="31">
        <f t="shared" ca="1" si="13"/>
        <v>0</v>
      </c>
      <c r="M111" s="31">
        <f t="shared" si="14"/>
        <v>1000</v>
      </c>
    </row>
    <row r="112" spans="2:13" x14ac:dyDescent="0.3">
      <c r="B112" s="5">
        <f t="shared" si="12"/>
        <v>46128</v>
      </c>
      <c r="C112" s="3">
        <v>4</v>
      </c>
      <c r="D112" s="3">
        <v>16</v>
      </c>
      <c r="E112" s="3">
        <f t="shared" si="11"/>
        <v>5</v>
      </c>
      <c r="F112" s="4" t="str">
        <f>IF($E112=참조!$B$2,참조!$C$2,IF($E112=참조!$B$3,참조!$C$3,IF($E112=참조!$B$4,참조!$C$4,IF($E112=참조!$B$5,참조!$C$5,IF($E112=참조!$B$6,참조!$C$6,IF($E112=참조!$B$7,참조!$C$7,IF($E112=참조!$B$8,참조!$C$8,"")))))))</f>
        <v>木</v>
      </c>
      <c r="G112" s="4" t="str">
        <f>IF($F112=참조!$C$2,참조!$D$2,IF($F112=참조!$C$8,참조!$D$2,IF(COUNTIF('2026년휴일'!$B:$B,$B112)&gt;0,참조!$D$2,참조!$D$3)))</f>
        <v>勤</v>
      </c>
      <c r="H112" s="31">
        <f>IF($G112=참조!$D$3,참조!$E$3,참조!$E$2)</f>
        <v>1000</v>
      </c>
      <c r="I112" s="31">
        <f>SUMIFS(지출기록_4월!$H$3:$H$312,지출기록_4월!$E$3:$E$312,B112,지출기록_4월!$F$3:$F$312,참조!$F$2)</f>
        <v>0</v>
      </c>
      <c r="J112" s="31">
        <f>SUMIFS(지출기록_4월!$H$3:$H$312,지출기록_4월!$E$3:$E$312,B112,지출기록_4월!$F$3:$F$312,참조!$F$3)</f>
        <v>0</v>
      </c>
      <c r="K112" s="31">
        <f t="shared" si="17"/>
        <v>0</v>
      </c>
      <c r="L112" s="31">
        <f t="shared" ca="1" si="13"/>
        <v>0</v>
      </c>
      <c r="M112" s="31">
        <f t="shared" si="14"/>
        <v>1000</v>
      </c>
    </row>
    <row r="113" spans="2:13" x14ac:dyDescent="0.3">
      <c r="B113" s="5">
        <f t="shared" si="12"/>
        <v>46129</v>
      </c>
      <c r="C113" s="3">
        <v>4</v>
      </c>
      <c r="D113" s="3">
        <v>17</v>
      </c>
      <c r="E113" s="3">
        <f t="shared" si="11"/>
        <v>6</v>
      </c>
      <c r="F113" s="4" t="str">
        <f>IF($E113=참조!$B$2,참조!$C$2,IF($E113=참조!$B$3,참조!$C$3,IF($E113=참조!$B$4,참조!$C$4,IF($E113=참조!$B$5,참조!$C$5,IF($E113=참조!$B$6,참조!$C$6,IF($E113=참조!$B$7,참조!$C$7,IF($E113=참조!$B$8,참조!$C$8,"")))))))</f>
        <v>金</v>
      </c>
      <c r="G113" s="4" t="str">
        <f>IF($F113=참조!$C$2,참조!$D$2,IF($F113=참조!$C$8,참조!$D$2,IF(COUNTIF('2026년휴일'!$B:$B,$B113)&gt;0,참조!$D$2,참조!$D$3)))</f>
        <v>勤</v>
      </c>
      <c r="H113" s="31">
        <f>IF($G113=참조!$D$3,참조!$E$3,참조!$E$2)</f>
        <v>1000</v>
      </c>
      <c r="I113" s="31">
        <f>SUMIFS(지출기록_4월!$H$3:$H$312,지출기록_4월!$E$3:$E$312,B113,지출기록_4월!$F$3:$F$312,참조!$F$2)</f>
        <v>0</v>
      </c>
      <c r="J113" s="31">
        <f>SUMIFS(지출기록_4월!$H$3:$H$312,지출기록_4월!$E$3:$E$312,B113,지출기록_4월!$F$3:$F$312,참조!$F$3)</f>
        <v>0</v>
      </c>
      <c r="K113" s="31">
        <f t="shared" si="17"/>
        <v>0</v>
      </c>
      <c r="L113" s="31">
        <f t="shared" ca="1" si="13"/>
        <v>0</v>
      </c>
      <c r="M113" s="31">
        <f t="shared" si="14"/>
        <v>1000</v>
      </c>
    </row>
    <row r="114" spans="2:13" x14ac:dyDescent="0.3">
      <c r="B114" s="5">
        <f t="shared" si="12"/>
        <v>46130</v>
      </c>
      <c r="C114" s="3">
        <v>4</v>
      </c>
      <c r="D114" s="3">
        <v>18</v>
      </c>
      <c r="E114" s="3">
        <f t="shared" si="11"/>
        <v>7</v>
      </c>
      <c r="F114" s="4" t="str">
        <f>IF($E114=참조!$B$2,참조!$C$2,IF($E114=참조!$B$3,참조!$C$3,IF($E114=참조!$B$4,참조!$C$4,IF($E114=참조!$B$5,참조!$C$5,IF($E114=참조!$B$6,참조!$C$6,IF($E114=참조!$B$7,참조!$C$7,IF($E114=참조!$B$8,참조!$C$8,"")))))))</f>
        <v>土</v>
      </c>
      <c r="G114" s="4" t="str">
        <f>IF($F114=참조!$C$2,참조!$D$2,IF($F114=참조!$C$8,참조!$D$2,IF(COUNTIF('2026년휴일'!$B:$B,$B114)&gt;0,참조!$D$2,참조!$D$3)))</f>
        <v>休</v>
      </c>
      <c r="H114" s="31">
        <f>IF($G114=참조!$D$3,참조!$E$3,참조!$E$2)</f>
        <v>5000</v>
      </c>
      <c r="I114" s="31">
        <f>SUMIFS(지출기록_4월!$H$3:$H$312,지출기록_4월!$E$3:$E$312,B114,지출기록_4월!$F$3:$F$312,참조!$F$2)</f>
        <v>0</v>
      </c>
      <c r="J114" s="31">
        <f>SUMIFS(지출기록_4월!$H$3:$H$312,지출기록_4월!$E$3:$E$312,B114,지출기록_4월!$F$3:$F$312,참조!$F$3)</f>
        <v>0</v>
      </c>
      <c r="K114" s="31">
        <f t="shared" si="17"/>
        <v>0</v>
      </c>
      <c r="L114" s="31">
        <f t="shared" ca="1" si="13"/>
        <v>0</v>
      </c>
      <c r="M114" s="31">
        <f t="shared" si="14"/>
        <v>5000</v>
      </c>
    </row>
    <row r="115" spans="2:13" x14ac:dyDescent="0.3">
      <c r="B115" s="5">
        <f t="shared" si="12"/>
        <v>46131</v>
      </c>
      <c r="C115" s="3">
        <v>4</v>
      </c>
      <c r="D115" s="3">
        <v>19</v>
      </c>
      <c r="E115" s="3">
        <f t="shared" si="11"/>
        <v>1</v>
      </c>
      <c r="F115" s="4" t="str">
        <f>IF($E115=참조!$B$2,참조!$C$2,IF($E115=참조!$B$3,참조!$C$3,IF($E115=참조!$B$4,참조!$C$4,IF($E115=참조!$B$5,참조!$C$5,IF($E115=참조!$B$6,참조!$C$6,IF($E115=참조!$B$7,참조!$C$7,IF($E115=참조!$B$8,참조!$C$8,"")))))))</f>
        <v>日</v>
      </c>
      <c r="G115" s="4" t="str">
        <f>IF($F115=참조!$C$2,참조!$D$2,IF($F115=참조!$C$8,참조!$D$2,IF(COUNTIF('2026년휴일'!$B:$B,$B115)&gt;0,참조!$D$2,참조!$D$3)))</f>
        <v>休</v>
      </c>
      <c r="H115" s="31">
        <f>IF($G115=참조!$D$3,참조!$E$3,참조!$E$2)</f>
        <v>5000</v>
      </c>
      <c r="I115" s="31">
        <f>SUMIFS(지출기록_4월!$H$3:$H$312,지출기록_4월!$E$3:$E$312,B115,지출기록_4월!$F$3:$F$312,참조!$F$2)</f>
        <v>0</v>
      </c>
      <c r="J115" s="31">
        <f>SUMIFS(지출기록_4월!$H$3:$H$312,지출기록_4월!$E$3:$E$312,B115,지출기록_4월!$F$3:$F$312,참조!$F$3)</f>
        <v>0</v>
      </c>
      <c r="K115" s="31">
        <f t="shared" si="17"/>
        <v>0</v>
      </c>
      <c r="L115" s="31">
        <f t="shared" ca="1" si="13"/>
        <v>0</v>
      </c>
      <c r="M115" s="31">
        <f t="shared" si="14"/>
        <v>5000</v>
      </c>
    </row>
    <row r="116" spans="2:13" x14ac:dyDescent="0.3">
      <c r="B116" s="5">
        <f t="shared" si="12"/>
        <v>46132</v>
      </c>
      <c r="C116" s="3">
        <v>4</v>
      </c>
      <c r="D116" s="3">
        <v>20</v>
      </c>
      <c r="E116" s="3">
        <f t="shared" si="11"/>
        <v>2</v>
      </c>
      <c r="F116" s="4" t="str">
        <f>IF($E116=참조!$B$2,참조!$C$2,IF($E116=참조!$B$3,참조!$C$3,IF($E116=참조!$B$4,참조!$C$4,IF($E116=참조!$B$5,참조!$C$5,IF($E116=참조!$B$6,참조!$C$6,IF($E116=참조!$B$7,참조!$C$7,IF($E116=참조!$B$8,참조!$C$8,"")))))))</f>
        <v>月</v>
      </c>
      <c r="G116" s="4" t="str">
        <f>IF($F116=참조!$C$2,참조!$D$2,IF($F116=참조!$C$8,참조!$D$2,IF(COUNTIF('2026년휴일'!$B:$B,$B116)&gt;0,참조!$D$2,참조!$D$3)))</f>
        <v>勤</v>
      </c>
      <c r="H116" s="31">
        <f>IF($G116=참조!$D$3,참조!$E$3,참조!$E$2)</f>
        <v>1000</v>
      </c>
      <c r="I116" s="31">
        <f>SUMIFS(지출기록_4월!$H$3:$H$312,지출기록_4월!$E$3:$E$312,B116,지출기록_4월!$F$3:$F$312,참조!$F$2)</f>
        <v>0</v>
      </c>
      <c r="J116" s="31">
        <f>SUMIFS(지출기록_4월!$H$3:$H$312,지출기록_4월!$E$3:$E$312,B116,지출기록_4월!$F$3:$F$312,참조!$F$3)</f>
        <v>0</v>
      </c>
      <c r="K116" s="31">
        <f t="shared" si="17"/>
        <v>0</v>
      </c>
      <c r="L116" s="31">
        <f t="shared" ca="1" si="13"/>
        <v>0</v>
      </c>
      <c r="M116" s="31">
        <f t="shared" si="14"/>
        <v>1000</v>
      </c>
    </row>
    <row r="117" spans="2:13" x14ac:dyDescent="0.3">
      <c r="B117" s="5">
        <f t="shared" si="12"/>
        <v>46133</v>
      </c>
      <c r="C117" s="3">
        <v>4</v>
      </c>
      <c r="D117" s="3">
        <v>21</v>
      </c>
      <c r="E117" s="3">
        <f t="shared" si="11"/>
        <v>3</v>
      </c>
      <c r="F117" s="4" t="str">
        <f>IF($E117=참조!$B$2,참조!$C$2,IF($E117=참조!$B$3,참조!$C$3,IF($E117=참조!$B$4,참조!$C$4,IF($E117=참조!$B$5,참조!$C$5,IF($E117=참조!$B$6,참조!$C$6,IF($E117=참조!$B$7,참조!$C$7,IF($E117=참조!$B$8,참조!$C$8,"")))))))</f>
        <v>火</v>
      </c>
      <c r="G117" s="4" t="str">
        <f>IF($F117=참조!$C$2,참조!$D$2,IF($F117=참조!$C$8,참조!$D$2,IF(COUNTIF('2026년휴일'!$B:$B,$B117)&gt;0,참조!$D$2,참조!$D$3)))</f>
        <v>勤</v>
      </c>
      <c r="H117" s="31">
        <f>IF($G117=참조!$D$3,참조!$E$3,참조!$E$2)</f>
        <v>1000</v>
      </c>
      <c r="I117" s="31">
        <f>SUMIFS(지출기록_4월!$H$3:$H$312,지출기록_4월!$E$3:$E$312,B117,지출기록_4월!$F$3:$F$312,참조!$F$2)</f>
        <v>0</v>
      </c>
      <c r="J117" s="31">
        <f>SUMIFS(지출기록_4월!$H$3:$H$312,지출기록_4월!$E$3:$E$312,B117,지출기록_4월!$F$3:$F$312,참조!$F$3)</f>
        <v>0</v>
      </c>
      <c r="K117" s="31">
        <f t="shared" si="17"/>
        <v>0</v>
      </c>
      <c r="L117" s="31">
        <f t="shared" ca="1" si="13"/>
        <v>0</v>
      </c>
      <c r="M117" s="31">
        <f t="shared" si="14"/>
        <v>1000</v>
      </c>
    </row>
    <row r="118" spans="2:13" x14ac:dyDescent="0.3">
      <c r="B118" s="5">
        <f t="shared" si="12"/>
        <v>46134</v>
      </c>
      <c r="C118" s="3">
        <v>4</v>
      </c>
      <c r="D118" s="3">
        <v>22</v>
      </c>
      <c r="E118" s="3">
        <f t="shared" si="11"/>
        <v>4</v>
      </c>
      <c r="F118" s="4" t="str">
        <f>IF($E118=참조!$B$2,참조!$C$2,IF($E118=참조!$B$3,참조!$C$3,IF($E118=참조!$B$4,참조!$C$4,IF($E118=참조!$B$5,참조!$C$5,IF($E118=참조!$B$6,참조!$C$6,IF($E118=참조!$B$7,참조!$C$7,IF($E118=참조!$B$8,참조!$C$8,"")))))))</f>
        <v>水</v>
      </c>
      <c r="G118" s="4" t="str">
        <f>IF($F118=참조!$C$2,참조!$D$2,IF($F118=참조!$C$8,참조!$D$2,IF(COUNTIF('2026년휴일'!$B:$B,$B118)&gt;0,참조!$D$2,참조!$D$3)))</f>
        <v>勤</v>
      </c>
      <c r="H118" s="31">
        <f>IF($G118=참조!$D$3,참조!$E$3,참조!$E$2)</f>
        <v>1000</v>
      </c>
      <c r="I118" s="31">
        <f>SUMIFS(지출기록_4월!$H$3:$H$312,지출기록_4월!$E$3:$E$312,B118,지출기록_4월!$F$3:$F$312,참조!$F$2)</f>
        <v>0</v>
      </c>
      <c r="J118" s="31">
        <f>SUMIFS(지출기록_4월!$H$3:$H$312,지출기록_4월!$E$3:$E$312,B118,지출기록_4월!$F$3:$F$312,참조!$F$3)</f>
        <v>0</v>
      </c>
      <c r="K118" s="31">
        <f t="shared" si="17"/>
        <v>0</v>
      </c>
      <c r="L118" s="31">
        <f t="shared" ca="1" si="13"/>
        <v>0</v>
      </c>
      <c r="M118" s="31">
        <f t="shared" si="14"/>
        <v>1000</v>
      </c>
    </row>
    <row r="119" spans="2:13" x14ac:dyDescent="0.3">
      <c r="B119" s="5">
        <f t="shared" si="12"/>
        <v>46135</v>
      </c>
      <c r="C119" s="3">
        <v>4</v>
      </c>
      <c r="D119" s="3">
        <v>23</v>
      </c>
      <c r="E119" s="3">
        <f t="shared" si="11"/>
        <v>5</v>
      </c>
      <c r="F119" s="4" t="str">
        <f>IF($E119=참조!$B$2,참조!$C$2,IF($E119=참조!$B$3,참조!$C$3,IF($E119=참조!$B$4,참조!$C$4,IF($E119=참조!$B$5,참조!$C$5,IF($E119=참조!$B$6,참조!$C$6,IF($E119=참조!$B$7,참조!$C$7,IF($E119=참조!$B$8,참조!$C$8,"")))))))</f>
        <v>木</v>
      </c>
      <c r="G119" s="4" t="str">
        <f>IF($F119=참조!$C$2,참조!$D$2,IF($F119=참조!$C$8,참조!$D$2,IF(COUNTIF('2026년휴일'!$B:$B,$B119)&gt;0,참조!$D$2,참조!$D$3)))</f>
        <v>勤</v>
      </c>
      <c r="H119" s="31">
        <f>IF($G119=참조!$D$3,참조!$E$3,참조!$E$2)</f>
        <v>1000</v>
      </c>
      <c r="I119" s="31">
        <f>SUMIFS(지출기록_4월!$H$3:$H$312,지출기록_4월!$E$3:$E$312,B119,지출기록_4월!$F$3:$F$312,참조!$F$2)</f>
        <v>0</v>
      </c>
      <c r="J119" s="31">
        <f>SUMIFS(지출기록_4월!$H$3:$H$312,지출기록_4월!$E$3:$E$312,B119,지출기록_4월!$F$3:$F$312,참조!$F$3)</f>
        <v>0</v>
      </c>
      <c r="K119" s="31">
        <f t="shared" si="17"/>
        <v>0</v>
      </c>
      <c r="L119" s="31">
        <f t="shared" ca="1" si="13"/>
        <v>0</v>
      </c>
      <c r="M119" s="31">
        <f t="shared" si="14"/>
        <v>1000</v>
      </c>
    </row>
    <row r="120" spans="2:13" x14ac:dyDescent="0.3">
      <c r="B120" s="5">
        <f t="shared" si="12"/>
        <v>46136</v>
      </c>
      <c r="C120" s="3">
        <v>4</v>
      </c>
      <c r="D120" s="3">
        <v>24</v>
      </c>
      <c r="E120" s="3">
        <f t="shared" si="11"/>
        <v>6</v>
      </c>
      <c r="F120" s="4" t="str">
        <f>IF($E120=참조!$B$2,참조!$C$2,IF($E120=참조!$B$3,참조!$C$3,IF($E120=참조!$B$4,참조!$C$4,IF($E120=참조!$B$5,참조!$C$5,IF($E120=참조!$B$6,참조!$C$6,IF($E120=참조!$B$7,참조!$C$7,IF($E120=참조!$B$8,참조!$C$8,"")))))))</f>
        <v>金</v>
      </c>
      <c r="G120" s="4" t="str">
        <f>IF($F120=참조!$C$2,참조!$D$2,IF($F120=참조!$C$8,참조!$D$2,IF(COUNTIF('2026년휴일'!$B:$B,$B120)&gt;0,참조!$D$2,참조!$D$3)))</f>
        <v>勤</v>
      </c>
      <c r="H120" s="31">
        <f>IF($G120=참조!$D$3,참조!$E$3,참조!$E$2)</f>
        <v>1000</v>
      </c>
      <c r="I120" s="31">
        <f>SUMIFS(지출기록_4월!$H$3:$H$312,지출기록_4월!$E$3:$E$312,B120,지출기록_4월!$F$3:$F$312,참조!$F$2)</f>
        <v>0</v>
      </c>
      <c r="J120" s="31">
        <f>SUMIFS(지출기록_4월!$H$3:$H$312,지출기록_4월!$E$3:$E$312,B120,지출기록_4월!$F$3:$F$312,참조!$F$3)</f>
        <v>0</v>
      </c>
      <c r="K120" s="31">
        <f t="shared" si="17"/>
        <v>0</v>
      </c>
      <c r="L120" s="31">
        <f t="shared" ca="1" si="13"/>
        <v>0</v>
      </c>
      <c r="M120" s="31">
        <f t="shared" si="14"/>
        <v>1000</v>
      </c>
    </row>
    <row r="121" spans="2:13" x14ac:dyDescent="0.3">
      <c r="B121" s="5">
        <f t="shared" si="12"/>
        <v>46137</v>
      </c>
      <c r="C121" s="3">
        <v>4</v>
      </c>
      <c r="D121" s="3">
        <v>25</v>
      </c>
      <c r="E121" s="3">
        <f t="shared" si="11"/>
        <v>7</v>
      </c>
      <c r="F121" s="4" t="str">
        <f>IF($E121=참조!$B$2,참조!$C$2,IF($E121=참조!$B$3,참조!$C$3,IF($E121=참조!$B$4,참조!$C$4,IF($E121=참조!$B$5,참조!$C$5,IF($E121=참조!$B$6,참조!$C$6,IF($E121=참조!$B$7,참조!$C$7,IF($E121=참조!$B$8,참조!$C$8,"")))))))</f>
        <v>土</v>
      </c>
      <c r="G121" s="4" t="str">
        <f>IF($F121=참조!$C$2,참조!$D$2,IF($F121=참조!$C$8,참조!$D$2,IF(COUNTIF('2026년휴일'!$B:$B,$B121)&gt;0,참조!$D$2,참조!$D$3)))</f>
        <v>休</v>
      </c>
      <c r="H121" s="31">
        <f>IF($G121=참조!$D$3,참조!$E$3,참조!$E$2)</f>
        <v>5000</v>
      </c>
      <c r="I121" s="31">
        <f>SUMIFS(지출기록_4월!$H$3:$H$312,지출기록_4월!$E$3:$E$312,B121,지출기록_4월!$F$3:$F$312,참조!$F$2)</f>
        <v>0</v>
      </c>
      <c r="J121" s="31">
        <f>SUMIFS(지출기록_4월!$H$3:$H$312,지출기록_4월!$E$3:$E$312,B121,지출기록_4월!$F$3:$F$312,참조!$F$3)</f>
        <v>0</v>
      </c>
      <c r="K121" s="31">
        <f t="shared" si="17"/>
        <v>0</v>
      </c>
      <c r="L121" s="31">
        <f t="shared" ca="1" si="13"/>
        <v>0</v>
      </c>
      <c r="M121" s="31">
        <f t="shared" si="14"/>
        <v>5000</v>
      </c>
    </row>
    <row r="122" spans="2:13" x14ac:dyDescent="0.3">
      <c r="B122" s="5">
        <f t="shared" si="12"/>
        <v>46138</v>
      </c>
      <c r="C122" s="3">
        <v>4</v>
      </c>
      <c r="D122" s="3">
        <v>26</v>
      </c>
      <c r="E122" s="3">
        <f t="shared" si="11"/>
        <v>1</v>
      </c>
      <c r="F122" s="4" t="str">
        <f>IF($E122=참조!$B$2,참조!$C$2,IF($E122=참조!$B$3,참조!$C$3,IF($E122=참조!$B$4,참조!$C$4,IF($E122=참조!$B$5,참조!$C$5,IF($E122=참조!$B$6,참조!$C$6,IF($E122=참조!$B$7,참조!$C$7,IF($E122=참조!$B$8,참조!$C$8,"")))))))</f>
        <v>日</v>
      </c>
      <c r="G122" s="4" t="str">
        <f>IF($F122=참조!$C$2,참조!$D$2,IF($F122=참조!$C$8,참조!$D$2,IF(COUNTIF('2026년휴일'!$B:$B,$B122)&gt;0,참조!$D$2,참조!$D$3)))</f>
        <v>休</v>
      </c>
      <c r="H122" s="31">
        <f>IF($G122=참조!$D$3,참조!$E$3,참조!$E$2)</f>
        <v>5000</v>
      </c>
      <c r="I122" s="31">
        <f>SUMIFS(지출기록_4월!$H$3:$H$312,지출기록_4월!$E$3:$E$312,B122,지출기록_4월!$F$3:$F$312,참조!$F$2)</f>
        <v>0</v>
      </c>
      <c r="J122" s="31">
        <f>SUMIFS(지출기록_4월!$H$3:$H$312,지출기록_4월!$E$3:$E$312,B122,지출기록_4월!$F$3:$F$312,참조!$F$3)</f>
        <v>0</v>
      </c>
      <c r="K122" s="31">
        <f t="shared" si="17"/>
        <v>0</v>
      </c>
      <c r="L122" s="31">
        <f t="shared" ca="1" si="13"/>
        <v>0</v>
      </c>
      <c r="M122" s="31">
        <f t="shared" si="14"/>
        <v>5000</v>
      </c>
    </row>
    <row r="123" spans="2:13" x14ac:dyDescent="0.3">
      <c r="B123" s="5">
        <f t="shared" si="12"/>
        <v>46139</v>
      </c>
      <c r="C123" s="3">
        <v>4</v>
      </c>
      <c r="D123" s="3">
        <v>27</v>
      </c>
      <c r="E123" s="3">
        <f t="shared" si="11"/>
        <v>2</v>
      </c>
      <c r="F123" s="4" t="str">
        <f>IF($E123=참조!$B$2,참조!$C$2,IF($E123=참조!$B$3,참조!$C$3,IF($E123=참조!$B$4,참조!$C$4,IF($E123=참조!$B$5,참조!$C$5,IF($E123=참조!$B$6,참조!$C$6,IF($E123=참조!$B$7,참조!$C$7,IF($E123=참조!$B$8,참조!$C$8,"")))))))</f>
        <v>月</v>
      </c>
      <c r="G123" s="4" t="str">
        <f>IF($F123=참조!$C$2,참조!$D$2,IF($F123=참조!$C$8,참조!$D$2,IF(COUNTIF('2026년휴일'!$B:$B,$B123)&gt;0,참조!$D$2,참조!$D$3)))</f>
        <v>勤</v>
      </c>
      <c r="H123" s="31">
        <f>IF($G123=참조!$D$3,참조!$E$3,참조!$E$2)</f>
        <v>1000</v>
      </c>
      <c r="I123" s="31">
        <f>SUMIFS(지출기록_4월!$H$3:$H$312,지출기록_4월!$E$3:$E$312,B123,지출기록_4월!$F$3:$F$312,참조!$F$2)</f>
        <v>0</v>
      </c>
      <c r="J123" s="31">
        <f>SUMIFS(지출기록_4월!$H$3:$H$312,지출기록_4월!$E$3:$E$312,B123,지출기록_4월!$F$3:$F$312,참조!$F$3)</f>
        <v>0</v>
      </c>
      <c r="K123" s="31">
        <f t="shared" si="17"/>
        <v>0</v>
      </c>
      <c r="L123" s="31">
        <f t="shared" ca="1" si="13"/>
        <v>0</v>
      </c>
      <c r="M123" s="31">
        <f t="shared" si="14"/>
        <v>1000</v>
      </c>
    </row>
    <row r="124" spans="2:13" x14ac:dyDescent="0.3">
      <c r="B124" s="5">
        <f t="shared" si="12"/>
        <v>46140</v>
      </c>
      <c r="C124" s="3">
        <v>4</v>
      </c>
      <c r="D124" s="3">
        <v>28</v>
      </c>
      <c r="E124" s="3">
        <f t="shared" si="11"/>
        <v>3</v>
      </c>
      <c r="F124" s="4" t="str">
        <f>IF($E124=참조!$B$2,참조!$C$2,IF($E124=참조!$B$3,참조!$C$3,IF($E124=참조!$B$4,참조!$C$4,IF($E124=참조!$B$5,참조!$C$5,IF($E124=참조!$B$6,참조!$C$6,IF($E124=참조!$B$7,참조!$C$7,IF($E124=참조!$B$8,참조!$C$8,"")))))))</f>
        <v>火</v>
      </c>
      <c r="G124" s="4" t="str">
        <f>IF($F124=참조!$C$2,참조!$D$2,IF($F124=참조!$C$8,참조!$D$2,IF(COUNTIF('2026년휴일'!$B:$B,$B124)&gt;0,참조!$D$2,참조!$D$3)))</f>
        <v>勤</v>
      </c>
      <c r="H124" s="31">
        <f>IF($G124=참조!$D$3,참조!$E$3,참조!$E$2)</f>
        <v>1000</v>
      </c>
      <c r="I124" s="31">
        <f>SUMIFS(지출기록_4월!$H$3:$H$312,지출기록_4월!$E$3:$E$312,B124,지출기록_4월!$F$3:$F$312,참조!$F$2)</f>
        <v>0</v>
      </c>
      <c r="J124" s="31">
        <f>SUMIFS(지출기록_4월!$H$3:$H$312,지출기록_4월!$E$3:$E$312,B124,지출기록_4월!$F$3:$F$312,참조!$F$3)</f>
        <v>0</v>
      </c>
      <c r="K124" s="31">
        <f t="shared" si="17"/>
        <v>0</v>
      </c>
      <c r="L124" s="31">
        <f t="shared" ca="1" si="13"/>
        <v>0</v>
      </c>
      <c r="M124" s="31">
        <f t="shared" si="14"/>
        <v>1000</v>
      </c>
    </row>
    <row r="125" spans="2:13" x14ac:dyDescent="0.3">
      <c r="B125" s="5">
        <f t="shared" si="12"/>
        <v>46141</v>
      </c>
      <c r="C125" s="3">
        <v>4</v>
      </c>
      <c r="D125" s="3">
        <v>29</v>
      </c>
      <c r="E125" s="3">
        <f t="shared" si="11"/>
        <v>4</v>
      </c>
      <c r="F125" s="4" t="str">
        <f>IF($E125=참조!$B$2,참조!$C$2,IF($E125=참조!$B$3,참조!$C$3,IF($E125=참조!$B$4,참조!$C$4,IF($E125=참조!$B$5,참조!$C$5,IF($E125=참조!$B$6,참조!$C$6,IF($E125=참조!$B$7,참조!$C$7,IF($E125=참조!$B$8,참조!$C$8,"")))))))</f>
        <v>水</v>
      </c>
      <c r="G125" s="4" t="str">
        <f>IF($F125=참조!$C$2,참조!$D$2,IF($F125=참조!$C$8,참조!$D$2,IF(COUNTIF('2026년휴일'!$B:$B,$B125)&gt;0,참조!$D$2,참조!$D$3)))</f>
        <v>休</v>
      </c>
      <c r="H125" s="31">
        <f>IF($G125=참조!$D$3,참조!$E$3,참조!$E$2)</f>
        <v>5000</v>
      </c>
      <c r="I125" s="31">
        <f>SUMIFS(지출기록_4월!$H$3:$H$312,지출기록_4월!$E$3:$E$312,B125,지출기록_4월!$F$3:$F$312,참조!$F$2)</f>
        <v>0</v>
      </c>
      <c r="J125" s="31">
        <f>SUMIFS(지출기록_4월!$H$3:$H$312,지출기록_4월!$E$3:$E$312,B125,지출기록_4월!$F$3:$F$312,참조!$F$3)</f>
        <v>0</v>
      </c>
      <c r="K125" s="31">
        <f t="shared" si="17"/>
        <v>0</v>
      </c>
      <c r="L125" s="31">
        <f t="shared" ca="1" si="13"/>
        <v>0</v>
      </c>
      <c r="M125" s="31">
        <f t="shared" si="14"/>
        <v>5000</v>
      </c>
    </row>
    <row r="126" spans="2:13" x14ac:dyDescent="0.3">
      <c r="B126" s="5">
        <f t="shared" si="12"/>
        <v>46142</v>
      </c>
      <c r="C126" s="3">
        <v>4</v>
      </c>
      <c r="D126" s="3">
        <v>30</v>
      </c>
      <c r="E126" s="3">
        <f t="shared" si="11"/>
        <v>5</v>
      </c>
      <c r="F126" s="4" t="str">
        <f>IF($E126=참조!$B$2,참조!$C$2,IF($E126=참조!$B$3,참조!$C$3,IF($E126=참조!$B$4,참조!$C$4,IF($E126=참조!$B$5,참조!$C$5,IF($E126=참조!$B$6,참조!$C$6,IF($E126=참조!$B$7,참조!$C$7,IF($E126=참조!$B$8,참조!$C$8,"")))))))</f>
        <v>木</v>
      </c>
      <c r="G126" s="4" t="str">
        <f>IF($F126=참조!$C$2,참조!$D$2,IF($F126=참조!$C$8,참조!$D$2,IF(COUNTIF('2026년휴일'!$B:$B,$B126)&gt;0,참조!$D$2,참조!$D$3)))</f>
        <v>勤</v>
      </c>
      <c r="H126" s="31">
        <f>IF($G126=참조!$D$3,참조!$E$3,참조!$E$2)</f>
        <v>1000</v>
      </c>
      <c r="I126" s="31">
        <f>SUMIFS(지출기록_4월!$H$3:$H$312,지출기록_4월!$E$3:$E$312,B126,지출기록_4월!$F$3:$F$312,참조!$F$2)</f>
        <v>0</v>
      </c>
      <c r="J126" s="31">
        <f>SUMIFS(지출기록_4월!$H$3:$H$312,지출기록_4월!$E$3:$E$312,B126,지출기록_4월!$F$3:$F$312,참조!$F$3)</f>
        <v>0</v>
      </c>
      <c r="K126" s="31">
        <f t="shared" si="17"/>
        <v>0</v>
      </c>
      <c r="L126" s="31">
        <f t="shared" ca="1" si="13"/>
        <v>0</v>
      </c>
      <c r="M126" s="31">
        <f t="shared" si="14"/>
        <v>1000</v>
      </c>
    </row>
    <row r="127" spans="2:13" x14ac:dyDescent="0.3">
      <c r="B127" s="5">
        <f t="shared" si="12"/>
        <v>46143</v>
      </c>
      <c r="C127" s="3">
        <v>5</v>
      </c>
      <c r="D127" s="3">
        <v>1</v>
      </c>
      <c r="E127" s="3">
        <f t="shared" si="11"/>
        <v>6</v>
      </c>
      <c r="F127" s="4" t="str">
        <f>IF($E127=참조!$B$2,참조!$C$2,IF($E127=참조!$B$3,참조!$C$3,IF($E127=참조!$B$4,참조!$C$4,IF($E127=참조!$B$5,참조!$C$5,IF($E127=참조!$B$6,참조!$C$6,IF($E127=참조!$B$7,참조!$C$7,IF($E127=참조!$B$8,참조!$C$8,"")))))))</f>
        <v>金</v>
      </c>
      <c r="G127" s="4" t="str">
        <f>IF($F127=참조!$C$2,참조!$D$2,IF($F127=참조!$C$8,참조!$D$2,IF(COUNTIF('2026년휴일'!$B:$B,$B127)&gt;0,참조!$D$2,참조!$D$3)))</f>
        <v>勤</v>
      </c>
      <c r="H127" s="31">
        <f>IF($G127=참조!$D$3,참조!$E$3,참조!$E$2)</f>
        <v>1000</v>
      </c>
      <c r="I127" s="31">
        <f>SUMIFS(지출기록_5월!$H$3:$H$312,지출기록_5월!$E$3:$E$312,B127,지출기록_5월!$F$3:$F$312,참조!$F$2)</f>
        <v>0</v>
      </c>
      <c r="J127" s="31">
        <f>SUMIFS(지출기록_5월!$H$3:$H$312,지출기록_5월!$E$3:$E$312,B127,지출기록_5월!$F$3:$F$312,참조!$F$3)</f>
        <v>0</v>
      </c>
      <c r="K127" s="31">
        <f t="shared" si="17"/>
        <v>0</v>
      </c>
      <c r="L127" s="31">
        <f t="shared" ca="1" si="13"/>
        <v>0</v>
      </c>
      <c r="M127" s="31">
        <f t="shared" si="14"/>
        <v>1000</v>
      </c>
    </row>
    <row r="128" spans="2:13" x14ac:dyDescent="0.3">
      <c r="B128" s="5">
        <f t="shared" si="12"/>
        <v>46144</v>
      </c>
      <c r="C128" s="3">
        <v>5</v>
      </c>
      <c r="D128" s="3">
        <v>2</v>
      </c>
      <c r="E128" s="3">
        <f t="shared" si="11"/>
        <v>7</v>
      </c>
      <c r="F128" s="4" t="str">
        <f>IF($E128=참조!$B$2,참조!$C$2,IF($E128=참조!$B$3,참조!$C$3,IF($E128=참조!$B$4,참조!$C$4,IF($E128=참조!$B$5,참조!$C$5,IF($E128=참조!$B$6,참조!$C$6,IF($E128=참조!$B$7,참조!$C$7,IF($E128=참조!$B$8,참조!$C$8,"")))))))</f>
        <v>土</v>
      </c>
      <c r="G128" s="4" t="str">
        <f>IF($F128=참조!$C$2,참조!$D$2,IF($F128=참조!$C$8,참조!$D$2,IF(COUNTIF('2026년휴일'!$B:$B,$B128)&gt;0,참조!$D$2,참조!$D$3)))</f>
        <v>休</v>
      </c>
      <c r="H128" s="31">
        <f>IF($G128=참조!$D$3,참조!$E$3,참조!$E$2)</f>
        <v>5000</v>
      </c>
      <c r="I128" s="31">
        <f>SUMIFS(지출기록_5월!$H$3:$H$312,지출기록_5월!$E$3:$E$312,B128,지출기록_5월!$F$3:$F$312,참조!$F$2)</f>
        <v>0</v>
      </c>
      <c r="J128" s="31">
        <f>SUMIFS(지출기록_5월!$H$3:$H$312,지출기록_5월!$E$3:$E$312,B128,지출기록_5월!$F$3:$F$312,참조!$F$3)</f>
        <v>0</v>
      </c>
      <c r="K128" s="31">
        <f t="shared" ref="K128:K158" si="18">I128-J128</f>
        <v>0</v>
      </c>
      <c r="L128" s="31">
        <f t="shared" ca="1" si="13"/>
        <v>0</v>
      </c>
      <c r="M128" s="31">
        <f t="shared" si="14"/>
        <v>5000</v>
      </c>
    </row>
    <row r="129" spans="2:13" x14ac:dyDescent="0.3">
      <c r="B129" s="5">
        <f t="shared" si="12"/>
        <v>46145</v>
      </c>
      <c r="C129" s="3">
        <v>5</v>
      </c>
      <c r="D129" s="3">
        <v>3</v>
      </c>
      <c r="E129" s="3">
        <f t="shared" si="11"/>
        <v>1</v>
      </c>
      <c r="F129" s="4" t="str">
        <f>IF($E129=참조!$B$2,참조!$C$2,IF($E129=참조!$B$3,참조!$C$3,IF($E129=참조!$B$4,참조!$C$4,IF($E129=참조!$B$5,참조!$C$5,IF($E129=참조!$B$6,참조!$C$6,IF($E129=참조!$B$7,참조!$C$7,IF($E129=참조!$B$8,참조!$C$8,"")))))))</f>
        <v>日</v>
      </c>
      <c r="G129" s="4" t="str">
        <f>IF($F129=참조!$C$2,참조!$D$2,IF($F129=참조!$C$8,참조!$D$2,IF(COUNTIF('2026년휴일'!$B:$B,$B129)&gt;0,참조!$D$2,참조!$D$3)))</f>
        <v>休</v>
      </c>
      <c r="H129" s="31">
        <f>IF($G129=참조!$D$3,참조!$E$3,참조!$E$2)</f>
        <v>5000</v>
      </c>
      <c r="I129" s="31">
        <f>SUMIFS(지출기록_5월!$H$3:$H$312,지출기록_5월!$E$3:$E$312,B129,지출기록_5월!$F$3:$F$312,참조!$F$2)</f>
        <v>0</v>
      </c>
      <c r="J129" s="31">
        <f>SUMIFS(지출기록_5월!$H$3:$H$312,지출기록_5월!$E$3:$E$312,B129,지출기록_5월!$F$3:$F$312,참조!$F$3)</f>
        <v>0</v>
      </c>
      <c r="K129" s="31">
        <f t="shared" si="18"/>
        <v>0</v>
      </c>
      <c r="L129" s="31">
        <f t="shared" ca="1" si="13"/>
        <v>0</v>
      </c>
      <c r="M129" s="31">
        <f t="shared" si="14"/>
        <v>5000</v>
      </c>
    </row>
    <row r="130" spans="2:13" x14ac:dyDescent="0.3">
      <c r="B130" s="5">
        <f t="shared" si="12"/>
        <v>46146</v>
      </c>
      <c r="C130" s="3">
        <v>5</v>
      </c>
      <c r="D130" s="3">
        <v>4</v>
      </c>
      <c r="E130" s="3">
        <f t="shared" si="11"/>
        <v>2</v>
      </c>
      <c r="F130" s="4" t="str">
        <f>IF($E130=참조!$B$2,참조!$C$2,IF($E130=참조!$B$3,참조!$C$3,IF($E130=참조!$B$4,참조!$C$4,IF($E130=참조!$B$5,참조!$C$5,IF($E130=참조!$B$6,참조!$C$6,IF($E130=참조!$B$7,참조!$C$7,IF($E130=참조!$B$8,참조!$C$8,"")))))))</f>
        <v>月</v>
      </c>
      <c r="G130" s="4" t="str">
        <f>IF($F130=참조!$C$2,참조!$D$2,IF($F130=참조!$C$8,참조!$D$2,IF(COUNTIF('2026년휴일'!$B:$B,$B130)&gt;0,참조!$D$2,참조!$D$3)))</f>
        <v>休</v>
      </c>
      <c r="H130" s="31">
        <f>IF($G130=참조!$D$3,참조!$E$3,참조!$E$2)</f>
        <v>5000</v>
      </c>
      <c r="I130" s="31">
        <f>SUMIFS(지출기록_5월!$H$3:$H$312,지출기록_5월!$E$3:$E$312,B130,지출기록_5월!$F$3:$F$312,참조!$F$2)</f>
        <v>0</v>
      </c>
      <c r="J130" s="31">
        <f>SUMIFS(지출기록_5월!$H$3:$H$312,지출기록_5월!$E$3:$E$312,B130,지출기록_5월!$F$3:$F$312,참조!$F$3)</f>
        <v>0</v>
      </c>
      <c r="K130" s="31">
        <f t="shared" si="18"/>
        <v>0</v>
      </c>
      <c r="L130" s="31">
        <f t="shared" ca="1" si="13"/>
        <v>0</v>
      </c>
      <c r="M130" s="31">
        <f t="shared" si="14"/>
        <v>5000</v>
      </c>
    </row>
    <row r="131" spans="2:13" x14ac:dyDescent="0.3">
      <c r="B131" s="5">
        <f t="shared" si="12"/>
        <v>46147</v>
      </c>
      <c r="C131" s="3">
        <v>5</v>
      </c>
      <c r="D131" s="3">
        <v>5</v>
      </c>
      <c r="E131" s="3">
        <f t="shared" si="11"/>
        <v>3</v>
      </c>
      <c r="F131" s="4" t="str">
        <f>IF($E131=참조!$B$2,참조!$C$2,IF($E131=참조!$B$3,참조!$C$3,IF($E131=참조!$B$4,참조!$C$4,IF($E131=참조!$B$5,참조!$C$5,IF($E131=참조!$B$6,참조!$C$6,IF($E131=참조!$B$7,참조!$C$7,IF($E131=참조!$B$8,참조!$C$8,"")))))))</f>
        <v>火</v>
      </c>
      <c r="G131" s="4" t="str">
        <f>IF($F131=참조!$C$2,참조!$D$2,IF($F131=참조!$C$8,참조!$D$2,IF(COUNTIF('2026년휴일'!$B:$B,$B131)&gt;0,참조!$D$2,참조!$D$3)))</f>
        <v>休</v>
      </c>
      <c r="H131" s="31">
        <f>IF($G131=참조!$D$3,참조!$E$3,참조!$E$2)</f>
        <v>5000</v>
      </c>
      <c r="I131" s="31">
        <f>SUMIFS(지출기록_5월!$H$3:$H$312,지출기록_5월!$E$3:$E$312,B131,지출기록_5월!$F$3:$F$312,참조!$F$2)</f>
        <v>0</v>
      </c>
      <c r="J131" s="31">
        <f>SUMIFS(지출기록_5월!$H$3:$H$312,지출기록_5월!$E$3:$E$312,B131,지출기록_5월!$F$3:$F$312,참조!$F$3)</f>
        <v>0</v>
      </c>
      <c r="K131" s="31">
        <f t="shared" si="18"/>
        <v>0</v>
      </c>
      <c r="L131" s="31">
        <f t="shared" ca="1" si="13"/>
        <v>0</v>
      </c>
      <c r="M131" s="31">
        <f t="shared" si="14"/>
        <v>5000</v>
      </c>
    </row>
    <row r="132" spans="2:13" x14ac:dyDescent="0.3">
      <c r="B132" s="5">
        <f t="shared" si="12"/>
        <v>46148</v>
      </c>
      <c r="C132" s="3">
        <v>5</v>
      </c>
      <c r="D132" s="3">
        <v>6</v>
      </c>
      <c r="E132" s="3">
        <f t="shared" si="11"/>
        <v>4</v>
      </c>
      <c r="F132" s="4" t="str">
        <f>IF($E132=참조!$B$2,참조!$C$2,IF($E132=참조!$B$3,참조!$C$3,IF($E132=참조!$B$4,참조!$C$4,IF($E132=참조!$B$5,참조!$C$5,IF($E132=참조!$B$6,참조!$C$6,IF($E132=참조!$B$7,참조!$C$7,IF($E132=참조!$B$8,참조!$C$8,"")))))))</f>
        <v>水</v>
      </c>
      <c r="G132" s="4" t="str">
        <f>IF($F132=참조!$C$2,참조!$D$2,IF($F132=참조!$C$8,참조!$D$2,IF(COUNTIF('2026년휴일'!$B:$B,$B132)&gt;0,참조!$D$2,참조!$D$3)))</f>
        <v>休</v>
      </c>
      <c r="H132" s="31">
        <f>IF($G132=참조!$D$3,참조!$E$3,참조!$E$2)</f>
        <v>5000</v>
      </c>
      <c r="I132" s="31">
        <f>SUMIFS(지출기록_5월!$H$3:$H$312,지출기록_5월!$E$3:$E$312,B132,지출기록_5월!$F$3:$F$312,참조!$F$2)</f>
        <v>0</v>
      </c>
      <c r="J132" s="31">
        <f>SUMIFS(지출기록_5월!$H$3:$H$312,지출기록_5월!$E$3:$E$312,B132,지출기록_5월!$F$3:$F$312,참조!$F$3)</f>
        <v>0</v>
      </c>
      <c r="K132" s="31">
        <f t="shared" si="18"/>
        <v>0</v>
      </c>
      <c r="L132" s="31">
        <f t="shared" ca="1" si="13"/>
        <v>0</v>
      </c>
      <c r="M132" s="31">
        <f t="shared" si="14"/>
        <v>5000</v>
      </c>
    </row>
    <row r="133" spans="2:13" x14ac:dyDescent="0.3">
      <c r="B133" s="5">
        <f t="shared" si="12"/>
        <v>46149</v>
      </c>
      <c r="C133" s="3">
        <v>5</v>
      </c>
      <c r="D133" s="3">
        <v>7</v>
      </c>
      <c r="E133" s="3">
        <f t="shared" si="11"/>
        <v>5</v>
      </c>
      <c r="F133" s="4" t="str">
        <f>IF($E133=참조!$B$2,참조!$C$2,IF($E133=참조!$B$3,참조!$C$3,IF($E133=참조!$B$4,참조!$C$4,IF($E133=참조!$B$5,참조!$C$5,IF($E133=참조!$B$6,참조!$C$6,IF($E133=참조!$B$7,참조!$C$7,IF($E133=참조!$B$8,참조!$C$8,"")))))))</f>
        <v>木</v>
      </c>
      <c r="G133" s="4" t="str">
        <f>IF($F133=참조!$C$2,참조!$D$2,IF($F133=참조!$C$8,참조!$D$2,IF(COUNTIF('2026년휴일'!$B:$B,$B133)&gt;0,참조!$D$2,참조!$D$3)))</f>
        <v>勤</v>
      </c>
      <c r="H133" s="31">
        <f>IF($G133=참조!$D$3,참조!$E$3,참조!$E$2)</f>
        <v>1000</v>
      </c>
      <c r="I133" s="31">
        <f>SUMIFS(지출기록_5월!$H$3:$H$312,지출기록_5월!$E$3:$E$312,B133,지출기록_5월!$F$3:$F$312,참조!$F$2)</f>
        <v>0</v>
      </c>
      <c r="J133" s="31">
        <f>SUMIFS(지출기록_5월!$H$3:$H$312,지출기록_5월!$E$3:$E$312,B133,지출기록_5월!$F$3:$F$312,참조!$F$3)</f>
        <v>0</v>
      </c>
      <c r="K133" s="31">
        <f t="shared" si="18"/>
        <v>0</v>
      </c>
      <c r="L133" s="31">
        <f t="shared" ca="1" si="13"/>
        <v>0</v>
      </c>
      <c r="M133" s="31">
        <f t="shared" si="14"/>
        <v>1000</v>
      </c>
    </row>
    <row r="134" spans="2:13" x14ac:dyDescent="0.3">
      <c r="B134" s="5">
        <f t="shared" si="12"/>
        <v>46150</v>
      </c>
      <c r="C134" s="3">
        <v>5</v>
      </c>
      <c r="D134" s="3">
        <v>8</v>
      </c>
      <c r="E134" s="3">
        <f t="shared" si="11"/>
        <v>6</v>
      </c>
      <c r="F134" s="4" t="str">
        <f>IF($E134=참조!$B$2,참조!$C$2,IF($E134=참조!$B$3,참조!$C$3,IF($E134=참조!$B$4,참조!$C$4,IF($E134=참조!$B$5,참조!$C$5,IF($E134=참조!$B$6,참조!$C$6,IF($E134=참조!$B$7,참조!$C$7,IF($E134=참조!$B$8,참조!$C$8,"")))))))</f>
        <v>金</v>
      </c>
      <c r="G134" s="4" t="str">
        <f>IF($F134=참조!$C$2,참조!$D$2,IF($F134=참조!$C$8,참조!$D$2,IF(COUNTIF('2026년휴일'!$B:$B,$B134)&gt;0,참조!$D$2,참조!$D$3)))</f>
        <v>勤</v>
      </c>
      <c r="H134" s="31">
        <f>IF($G134=참조!$D$3,참조!$E$3,참조!$E$2)</f>
        <v>1000</v>
      </c>
      <c r="I134" s="31">
        <f>SUMIFS(지출기록_5월!$H$3:$H$312,지출기록_5월!$E$3:$E$312,B134,지출기록_5월!$F$3:$F$312,참조!$F$2)</f>
        <v>0</v>
      </c>
      <c r="J134" s="31">
        <f>SUMIFS(지출기록_5월!$H$3:$H$312,지출기록_5월!$E$3:$E$312,B134,지출기록_5월!$F$3:$F$312,참조!$F$3)</f>
        <v>0</v>
      </c>
      <c r="K134" s="31">
        <f t="shared" si="18"/>
        <v>0</v>
      </c>
      <c r="L134" s="31">
        <f t="shared" ca="1" si="13"/>
        <v>0</v>
      </c>
      <c r="M134" s="31">
        <f t="shared" si="14"/>
        <v>1000</v>
      </c>
    </row>
    <row r="135" spans="2:13" x14ac:dyDescent="0.3">
      <c r="B135" s="5">
        <f t="shared" si="12"/>
        <v>46151</v>
      </c>
      <c r="C135" s="3">
        <v>5</v>
      </c>
      <c r="D135" s="3">
        <v>9</v>
      </c>
      <c r="E135" s="3">
        <f t="shared" ref="E135:E198" si="19">WEEKDAY(B135)</f>
        <v>7</v>
      </c>
      <c r="F135" s="4" t="str">
        <f>IF($E135=참조!$B$2,참조!$C$2,IF($E135=참조!$B$3,참조!$C$3,IF($E135=참조!$B$4,참조!$C$4,IF($E135=참조!$B$5,참조!$C$5,IF($E135=참조!$B$6,참조!$C$6,IF($E135=참조!$B$7,참조!$C$7,IF($E135=참조!$B$8,참조!$C$8,"")))))))</f>
        <v>土</v>
      </c>
      <c r="G135" s="4" t="str">
        <f>IF($F135=참조!$C$2,참조!$D$2,IF($F135=참조!$C$8,참조!$D$2,IF(COUNTIF('2026년휴일'!$B:$B,$B135)&gt;0,참조!$D$2,참조!$D$3)))</f>
        <v>休</v>
      </c>
      <c r="H135" s="31">
        <f>IF($G135=참조!$D$3,참조!$E$3,참조!$E$2)</f>
        <v>5000</v>
      </c>
      <c r="I135" s="31">
        <f>SUMIFS(지출기록_5월!$H$3:$H$312,지출기록_5월!$E$3:$E$312,B135,지출기록_5월!$F$3:$F$312,참조!$F$2)</f>
        <v>0</v>
      </c>
      <c r="J135" s="31">
        <f>SUMIFS(지출기록_5월!$H$3:$H$312,지출기록_5월!$E$3:$E$312,B135,지출기록_5월!$F$3:$F$312,참조!$F$3)</f>
        <v>0</v>
      </c>
      <c r="K135" s="31">
        <f t="shared" si="18"/>
        <v>0</v>
      </c>
      <c r="L135" s="31">
        <f t="shared" ca="1" si="13"/>
        <v>0</v>
      </c>
      <c r="M135" s="31">
        <f t="shared" si="14"/>
        <v>5000</v>
      </c>
    </row>
    <row r="136" spans="2:13" x14ac:dyDescent="0.3">
      <c r="B136" s="5">
        <f t="shared" ref="B136:B199" si="20">DATE($A$1,C136,D136)</f>
        <v>46152</v>
      </c>
      <c r="C136" s="3">
        <v>5</v>
      </c>
      <c r="D136" s="3">
        <v>10</v>
      </c>
      <c r="E136" s="3">
        <f t="shared" si="19"/>
        <v>1</v>
      </c>
      <c r="F136" s="4" t="str">
        <f>IF($E136=참조!$B$2,참조!$C$2,IF($E136=참조!$B$3,참조!$C$3,IF($E136=참조!$B$4,참조!$C$4,IF($E136=참조!$B$5,참조!$C$5,IF($E136=참조!$B$6,참조!$C$6,IF($E136=참조!$B$7,참조!$C$7,IF($E136=참조!$B$8,참조!$C$8,"")))))))</f>
        <v>日</v>
      </c>
      <c r="G136" s="4" t="str">
        <f>IF($F136=참조!$C$2,참조!$D$2,IF($F136=참조!$C$8,참조!$D$2,IF(COUNTIF('2026년휴일'!$B:$B,$B136)&gt;0,참조!$D$2,참조!$D$3)))</f>
        <v>休</v>
      </c>
      <c r="H136" s="31">
        <f>IF($G136=참조!$D$3,참조!$E$3,참조!$E$2)</f>
        <v>5000</v>
      </c>
      <c r="I136" s="31">
        <f>SUMIFS(지출기록_5월!$H$3:$H$312,지출기록_5월!$E$3:$E$312,B136,지출기록_5월!$F$3:$F$312,참조!$F$2)</f>
        <v>0</v>
      </c>
      <c r="J136" s="31">
        <f>SUMIFS(지출기록_5월!$H$3:$H$312,지출기록_5월!$E$3:$E$312,B136,지출기록_5월!$F$3:$F$312,참조!$F$3)</f>
        <v>0</v>
      </c>
      <c r="K136" s="31">
        <f t="shared" si="18"/>
        <v>0</v>
      </c>
      <c r="L136" s="31">
        <f t="shared" ref="L136:L199" ca="1" si="21">IF(B136&gt;$B$2,H136,K136)</f>
        <v>0</v>
      </c>
      <c r="M136" s="31">
        <f t="shared" ref="M136:M187" si="22">$H136-$K136</f>
        <v>5000</v>
      </c>
    </row>
    <row r="137" spans="2:13" x14ac:dyDescent="0.3">
      <c r="B137" s="5">
        <f t="shared" si="20"/>
        <v>46153</v>
      </c>
      <c r="C137" s="3">
        <v>5</v>
      </c>
      <c r="D137" s="3">
        <v>11</v>
      </c>
      <c r="E137" s="3">
        <f t="shared" si="19"/>
        <v>2</v>
      </c>
      <c r="F137" s="4" t="str">
        <f>IF($E137=참조!$B$2,참조!$C$2,IF($E137=참조!$B$3,참조!$C$3,IF($E137=참조!$B$4,참조!$C$4,IF($E137=참조!$B$5,참조!$C$5,IF($E137=참조!$B$6,참조!$C$6,IF($E137=참조!$B$7,참조!$C$7,IF($E137=참조!$B$8,참조!$C$8,"")))))))</f>
        <v>月</v>
      </c>
      <c r="G137" s="4" t="str">
        <f>IF($F137=참조!$C$2,참조!$D$2,IF($F137=참조!$C$8,참조!$D$2,IF(COUNTIF('2026년휴일'!$B:$B,$B137)&gt;0,참조!$D$2,참조!$D$3)))</f>
        <v>勤</v>
      </c>
      <c r="H137" s="31">
        <f>IF($G137=참조!$D$3,참조!$E$3,참조!$E$2)</f>
        <v>1000</v>
      </c>
      <c r="I137" s="31">
        <f>SUMIFS(지출기록_5월!$H$3:$H$312,지출기록_5월!$E$3:$E$312,B137,지출기록_5월!$F$3:$F$312,참조!$F$2)</f>
        <v>0</v>
      </c>
      <c r="J137" s="31">
        <f>SUMIFS(지출기록_5월!$H$3:$H$312,지출기록_5월!$E$3:$E$312,B137,지출기록_5월!$F$3:$F$312,참조!$F$3)</f>
        <v>0</v>
      </c>
      <c r="K137" s="31">
        <f t="shared" si="18"/>
        <v>0</v>
      </c>
      <c r="L137" s="31">
        <f t="shared" ca="1" si="21"/>
        <v>0</v>
      </c>
      <c r="M137" s="31">
        <f t="shared" si="22"/>
        <v>1000</v>
      </c>
    </row>
    <row r="138" spans="2:13" x14ac:dyDescent="0.3">
      <c r="B138" s="5">
        <f t="shared" si="20"/>
        <v>46154</v>
      </c>
      <c r="C138" s="3">
        <v>5</v>
      </c>
      <c r="D138" s="3">
        <v>12</v>
      </c>
      <c r="E138" s="3">
        <f t="shared" si="19"/>
        <v>3</v>
      </c>
      <c r="F138" s="4" t="str">
        <f>IF($E138=참조!$B$2,참조!$C$2,IF($E138=참조!$B$3,참조!$C$3,IF($E138=참조!$B$4,참조!$C$4,IF($E138=참조!$B$5,참조!$C$5,IF($E138=참조!$B$6,참조!$C$6,IF($E138=참조!$B$7,참조!$C$7,IF($E138=참조!$B$8,참조!$C$8,"")))))))</f>
        <v>火</v>
      </c>
      <c r="G138" s="4" t="str">
        <f>IF($F138=참조!$C$2,참조!$D$2,IF($F138=참조!$C$8,참조!$D$2,IF(COUNTIF('2026년휴일'!$B:$B,$B138)&gt;0,참조!$D$2,참조!$D$3)))</f>
        <v>勤</v>
      </c>
      <c r="H138" s="31">
        <f>IF($G138=참조!$D$3,참조!$E$3,참조!$E$2)</f>
        <v>1000</v>
      </c>
      <c r="I138" s="31">
        <f>SUMIFS(지출기록_5월!$H$3:$H$312,지출기록_5월!$E$3:$E$312,B138,지출기록_5월!$F$3:$F$312,참조!$F$2)</f>
        <v>0</v>
      </c>
      <c r="J138" s="31">
        <f>SUMIFS(지출기록_5월!$H$3:$H$312,지출기록_5월!$E$3:$E$312,B138,지출기록_5월!$F$3:$F$312,참조!$F$3)</f>
        <v>0</v>
      </c>
      <c r="K138" s="31">
        <f t="shared" si="18"/>
        <v>0</v>
      </c>
      <c r="L138" s="31">
        <f t="shared" ca="1" si="21"/>
        <v>0</v>
      </c>
      <c r="M138" s="31">
        <f t="shared" si="22"/>
        <v>1000</v>
      </c>
    </row>
    <row r="139" spans="2:13" x14ac:dyDescent="0.3">
      <c r="B139" s="5">
        <f t="shared" si="20"/>
        <v>46155</v>
      </c>
      <c r="C139" s="3">
        <v>5</v>
      </c>
      <c r="D139" s="3">
        <v>13</v>
      </c>
      <c r="E139" s="3">
        <f t="shared" si="19"/>
        <v>4</v>
      </c>
      <c r="F139" s="4" t="str">
        <f>IF($E139=참조!$B$2,참조!$C$2,IF($E139=참조!$B$3,참조!$C$3,IF($E139=참조!$B$4,참조!$C$4,IF($E139=참조!$B$5,참조!$C$5,IF($E139=참조!$B$6,참조!$C$6,IF($E139=참조!$B$7,참조!$C$7,IF($E139=참조!$B$8,참조!$C$8,"")))))))</f>
        <v>水</v>
      </c>
      <c r="G139" s="4" t="str">
        <f>IF($F139=참조!$C$2,참조!$D$2,IF($F139=참조!$C$8,참조!$D$2,IF(COUNTIF('2026년휴일'!$B:$B,$B139)&gt;0,참조!$D$2,참조!$D$3)))</f>
        <v>勤</v>
      </c>
      <c r="H139" s="31">
        <f>IF($G139=참조!$D$3,참조!$E$3,참조!$E$2)</f>
        <v>1000</v>
      </c>
      <c r="I139" s="31">
        <f>SUMIFS(지출기록_5월!$H$3:$H$312,지출기록_5월!$E$3:$E$312,B139,지출기록_5월!$F$3:$F$312,참조!$F$2)</f>
        <v>0</v>
      </c>
      <c r="J139" s="31">
        <f>SUMIFS(지출기록_5월!$H$3:$H$312,지출기록_5월!$E$3:$E$312,B139,지출기록_5월!$F$3:$F$312,참조!$F$3)</f>
        <v>0</v>
      </c>
      <c r="K139" s="31">
        <f t="shared" si="18"/>
        <v>0</v>
      </c>
      <c r="L139" s="31">
        <f t="shared" ca="1" si="21"/>
        <v>0</v>
      </c>
      <c r="M139" s="31">
        <f t="shared" si="22"/>
        <v>1000</v>
      </c>
    </row>
    <row r="140" spans="2:13" x14ac:dyDescent="0.3">
      <c r="B140" s="5">
        <f t="shared" si="20"/>
        <v>46156</v>
      </c>
      <c r="C140" s="3">
        <v>5</v>
      </c>
      <c r="D140" s="3">
        <v>14</v>
      </c>
      <c r="E140" s="3">
        <f t="shared" si="19"/>
        <v>5</v>
      </c>
      <c r="F140" s="4" t="str">
        <f>IF($E140=참조!$B$2,참조!$C$2,IF($E140=참조!$B$3,참조!$C$3,IF($E140=참조!$B$4,참조!$C$4,IF($E140=참조!$B$5,참조!$C$5,IF($E140=참조!$B$6,참조!$C$6,IF($E140=참조!$B$7,참조!$C$7,IF($E140=참조!$B$8,참조!$C$8,"")))))))</f>
        <v>木</v>
      </c>
      <c r="G140" s="4" t="str">
        <f>IF($F140=참조!$C$2,참조!$D$2,IF($F140=참조!$C$8,참조!$D$2,IF(COUNTIF('2026년휴일'!$B:$B,$B140)&gt;0,참조!$D$2,참조!$D$3)))</f>
        <v>勤</v>
      </c>
      <c r="H140" s="31">
        <f>IF($G140=참조!$D$3,참조!$E$3,참조!$E$2)</f>
        <v>1000</v>
      </c>
      <c r="I140" s="31">
        <f>SUMIFS(지출기록_5월!$H$3:$H$312,지출기록_5월!$E$3:$E$312,B140,지출기록_5월!$F$3:$F$312,참조!$F$2)</f>
        <v>0</v>
      </c>
      <c r="J140" s="31">
        <f>SUMIFS(지출기록_5월!$H$3:$H$312,지출기록_5월!$E$3:$E$312,B140,지출기록_5월!$F$3:$F$312,참조!$F$3)</f>
        <v>0</v>
      </c>
      <c r="K140" s="31">
        <f t="shared" si="18"/>
        <v>0</v>
      </c>
      <c r="L140" s="31">
        <f t="shared" ca="1" si="21"/>
        <v>0</v>
      </c>
      <c r="M140" s="31">
        <f t="shared" si="22"/>
        <v>1000</v>
      </c>
    </row>
    <row r="141" spans="2:13" x14ac:dyDescent="0.3">
      <c r="B141" s="5">
        <f t="shared" si="20"/>
        <v>46157</v>
      </c>
      <c r="C141" s="3">
        <v>5</v>
      </c>
      <c r="D141" s="3">
        <v>15</v>
      </c>
      <c r="E141" s="3">
        <f t="shared" si="19"/>
        <v>6</v>
      </c>
      <c r="F141" s="4" t="str">
        <f>IF($E141=참조!$B$2,참조!$C$2,IF($E141=참조!$B$3,참조!$C$3,IF($E141=참조!$B$4,참조!$C$4,IF($E141=참조!$B$5,참조!$C$5,IF($E141=참조!$B$6,참조!$C$6,IF($E141=참조!$B$7,참조!$C$7,IF($E141=참조!$B$8,참조!$C$8,"")))))))</f>
        <v>金</v>
      </c>
      <c r="G141" s="4" t="str">
        <f>IF($F141=참조!$C$2,참조!$D$2,IF($F141=참조!$C$8,참조!$D$2,IF(COUNTIF('2026년휴일'!$B:$B,$B141)&gt;0,참조!$D$2,참조!$D$3)))</f>
        <v>勤</v>
      </c>
      <c r="H141" s="31">
        <f>IF($G141=참조!$D$3,참조!$E$3,참조!$E$2)</f>
        <v>1000</v>
      </c>
      <c r="I141" s="31">
        <f>SUMIFS(지출기록_5월!$H$3:$H$312,지출기록_5월!$E$3:$E$312,B141,지출기록_5월!$F$3:$F$312,참조!$F$2)</f>
        <v>0</v>
      </c>
      <c r="J141" s="31">
        <f>SUMIFS(지출기록_5월!$H$3:$H$312,지출기록_5월!$E$3:$E$312,B141,지출기록_5월!$F$3:$F$312,참조!$F$3)</f>
        <v>0</v>
      </c>
      <c r="K141" s="31">
        <f t="shared" si="18"/>
        <v>0</v>
      </c>
      <c r="L141" s="31">
        <f t="shared" ca="1" si="21"/>
        <v>0</v>
      </c>
      <c r="M141" s="31">
        <f t="shared" si="22"/>
        <v>1000</v>
      </c>
    </row>
    <row r="142" spans="2:13" x14ac:dyDescent="0.3">
      <c r="B142" s="5">
        <f t="shared" si="20"/>
        <v>46158</v>
      </c>
      <c r="C142" s="3">
        <v>5</v>
      </c>
      <c r="D142" s="3">
        <v>16</v>
      </c>
      <c r="E142" s="3">
        <f t="shared" si="19"/>
        <v>7</v>
      </c>
      <c r="F142" s="4" t="str">
        <f>IF($E142=참조!$B$2,참조!$C$2,IF($E142=참조!$B$3,참조!$C$3,IF($E142=참조!$B$4,참조!$C$4,IF($E142=참조!$B$5,참조!$C$5,IF($E142=참조!$B$6,참조!$C$6,IF($E142=참조!$B$7,참조!$C$7,IF($E142=참조!$B$8,참조!$C$8,"")))))))</f>
        <v>土</v>
      </c>
      <c r="G142" s="4" t="str">
        <f>IF($F142=참조!$C$2,참조!$D$2,IF($F142=참조!$C$8,참조!$D$2,IF(COUNTIF('2026년휴일'!$B:$B,$B142)&gt;0,참조!$D$2,참조!$D$3)))</f>
        <v>休</v>
      </c>
      <c r="H142" s="31">
        <f>IF($G142=참조!$D$3,참조!$E$3,참조!$E$2)</f>
        <v>5000</v>
      </c>
      <c r="I142" s="31">
        <f>SUMIFS(지출기록_5월!$H$3:$H$312,지출기록_5월!$E$3:$E$312,B142,지출기록_5월!$F$3:$F$312,참조!$F$2)</f>
        <v>0</v>
      </c>
      <c r="J142" s="31">
        <f>SUMIFS(지출기록_5월!$H$3:$H$312,지출기록_5월!$E$3:$E$312,B142,지출기록_5월!$F$3:$F$312,참조!$F$3)</f>
        <v>0</v>
      </c>
      <c r="K142" s="31">
        <f t="shared" si="18"/>
        <v>0</v>
      </c>
      <c r="L142" s="31">
        <f t="shared" ca="1" si="21"/>
        <v>0</v>
      </c>
      <c r="M142" s="31">
        <f t="shared" si="22"/>
        <v>5000</v>
      </c>
    </row>
    <row r="143" spans="2:13" x14ac:dyDescent="0.3">
      <c r="B143" s="5">
        <f t="shared" si="20"/>
        <v>46159</v>
      </c>
      <c r="C143" s="3">
        <v>5</v>
      </c>
      <c r="D143" s="3">
        <v>17</v>
      </c>
      <c r="E143" s="3">
        <f t="shared" si="19"/>
        <v>1</v>
      </c>
      <c r="F143" s="4" t="str">
        <f>IF($E143=참조!$B$2,참조!$C$2,IF($E143=참조!$B$3,참조!$C$3,IF($E143=참조!$B$4,참조!$C$4,IF($E143=참조!$B$5,참조!$C$5,IF($E143=참조!$B$6,참조!$C$6,IF($E143=참조!$B$7,참조!$C$7,IF($E143=참조!$B$8,참조!$C$8,"")))))))</f>
        <v>日</v>
      </c>
      <c r="G143" s="4" t="str">
        <f>IF($F143=참조!$C$2,참조!$D$2,IF($F143=참조!$C$8,참조!$D$2,IF(COUNTIF('2026년휴일'!$B:$B,$B143)&gt;0,참조!$D$2,참조!$D$3)))</f>
        <v>休</v>
      </c>
      <c r="H143" s="31">
        <f>IF($G143=참조!$D$3,참조!$E$3,참조!$E$2)</f>
        <v>5000</v>
      </c>
      <c r="I143" s="31">
        <f>SUMIFS(지출기록_5월!$H$3:$H$312,지출기록_5월!$E$3:$E$312,B143,지출기록_5월!$F$3:$F$312,참조!$F$2)</f>
        <v>0</v>
      </c>
      <c r="J143" s="31">
        <f>SUMIFS(지출기록_5월!$H$3:$H$312,지출기록_5월!$E$3:$E$312,B143,지출기록_5월!$F$3:$F$312,참조!$F$3)</f>
        <v>0</v>
      </c>
      <c r="K143" s="31">
        <f t="shared" si="18"/>
        <v>0</v>
      </c>
      <c r="L143" s="31">
        <f t="shared" ca="1" si="21"/>
        <v>0</v>
      </c>
      <c r="M143" s="31">
        <f t="shared" si="22"/>
        <v>5000</v>
      </c>
    </row>
    <row r="144" spans="2:13" x14ac:dyDescent="0.3">
      <c r="B144" s="5">
        <f t="shared" si="20"/>
        <v>46160</v>
      </c>
      <c r="C144" s="3">
        <v>5</v>
      </c>
      <c r="D144" s="3">
        <v>18</v>
      </c>
      <c r="E144" s="3">
        <f t="shared" si="19"/>
        <v>2</v>
      </c>
      <c r="F144" s="4" t="str">
        <f>IF($E144=참조!$B$2,참조!$C$2,IF($E144=참조!$B$3,참조!$C$3,IF($E144=참조!$B$4,참조!$C$4,IF($E144=참조!$B$5,참조!$C$5,IF($E144=참조!$B$6,참조!$C$6,IF($E144=참조!$B$7,참조!$C$7,IF($E144=참조!$B$8,참조!$C$8,"")))))))</f>
        <v>月</v>
      </c>
      <c r="G144" s="4" t="str">
        <f>IF($F144=참조!$C$2,참조!$D$2,IF($F144=참조!$C$8,참조!$D$2,IF(COUNTIF('2026년휴일'!$B:$B,$B144)&gt;0,참조!$D$2,참조!$D$3)))</f>
        <v>勤</v>
      </c>
      <c r="H144" s="31">
        <f>IF($G144=참조!$D$3,참조!$E$3,참조!$E$2)</f>
        <v>1000</v>
      </c>
      <c r="I144" s="31">
        <f>SUMIFS(지출기록_5월!$H$3:$H$312,지출기록_5월!$E$3:$E$312,B144,지출기록_5월!$F$3:$F$312,참조!$F$2)</f>
        <v>0</v>
      </c>
      <c r="J144" s="31">
        <f>SUMIFS(지출기록_5월!$H$3:$H$312,지출기록_5월!$E$3:$E$312,B144,지출기록_5월!$F$3:$F$312,참조!$F$3)</f>
        <v>0</v>
      </c>
      <c r="K144" s="31">
        <f t="shared" si="18"/>
        <v>0</v>
      </c>
      <c r="L144" s="31">
        <f t="shared" ca="1" si="21"/>
        <v>0</v>
      </c>
      <c r="M144" s="31">
        <f t="shared" si="22"/>
        <v>1000</v>
      </c>
    </row>
    <row r="145" spans="2:13" x14ac:dyDescent="0.3">
      <c r="B145" s="5">
        <f t="shared" si="20"/>
        <v>46161</v>
      </c>
      <c r="C145" s="3">
        <v>5</v>
      </c>
      <c r="D145" s="3">
        <v>19</v>
      </c>
      <c r="E145" s="3">
        <f t="shared" si="19"/>
        <v>3</v>
      </c>
      <c r="F145" s="4" t="str">
        <f>IF($E145=참조!$B$2,참조!$C$2,IF($E145=참조!$B$3,참조!$C$3,IF($E145=참조!$B$4,참조!$C$4,IF($E145=참조!$B$5,참조!$C$5,IF($E145=참조!$B$6,참조!$C$6,IF($E145=참조!$B$7,참조!$C$7,IF($E145=참조!$B$8,참조!$C$8,"")))))))</f>
        <v>火</v>
      </c>
      <c r="G145" s="4" t="str">
        <f>IF($F145=참조!$C$2,참조!$D$2,IF($F145=참조!$C$8,참조!$D$2,IF(COUNTIF('2026년휴일'!$B:$B,$B145)&gt;0,참조!$D$2,참조!$D$3)))</f>
        <v>勤</v>
      </c>
      <c r="H145" s="31">
        <f>IF($G145=참조!$D$3,참조!$E$3,참조!$E$2)</f>
        <v>1000</v>
      </c>
      <c r="I145" s="31">
        <f>SUMIFS(지출기록_5월!$H$3:$H$312,지출기록_5월!$E$3:$E$312,B145,지출기록_5월!$F$3:$F$312,참조!$F$2)</f>
        <v>0</v>
      </c>
      <c r="J145" s="31">
        <f>SUMIFS(지출기록_5월!$H$3:$H$312,지출기록_5월!$E$3:$E$312,B145,지출기록_5월!$F$3:$F$312,참조!$F$3)</f>
        <v>0</v>
      </c>
      <c r="K145" s="31">
        <f t="shared" si="18"/>
        <v>0</v>
      </c>
      <c r="L145" s="31">
        <f t="shared" ca="1" si="21"/>
        <v>0</v>
      </c>
      <c r="M145" s="31">
        <f t="shared" si="22"/>
        <v>1000</v>
      </c>
    </row>
    <row r="146" spans="2:13" x14ac:dyDescent="0.3">
      <c r="B146" s="5">
        <f t="shared" si="20"/>
        <v>46162</v>
      </c>
      <c r="C146" s="3">
        <v>5</v>
      </c>
      <c r="D146" s="3">
        <v>20</v>
      </c>
      <c r="E146" s="3">
        <f t="shared" si="19"/>
        <v>4</v>
      </c>
      <c r="F146" s="4" t="str">
        <f>IF($E146=참조!$B$2,참조!$C$2,IF($E146=참조!$B$3,참조!$C$3,IF($E146=참조!$B$4,참조!$C$4,IF($E146=참조!$B$5,참조!$C$5,IF($E146=참조!$B$6,참조!$C$6,IF($E146=참조!$B$7,참조!$C$7,IF($E146=참조!$B$8,참조!$C$8,"")))))))</f>
        <v>水</v>
      </c>
      <c r="G146" s="4" t="str">
        <f>IF($F146=참조!$C$2,참조!$D$2,IF($F146=참조!$C$8,참조!$D$2,IF(COUNTIF('2026년휴일'!$B:$B,$B146)&gt;0,참조!$D$2,참조!$D$3)))</f>
        <v>勤</v>
      </c>
      <c r="H146" s="31">
        <f>IF($G146=참조!$D$3,참조!$E$3,참조!$E$2)</f>
        <v>1000</v>
      </c>
      <c r="I146" s="31">
        <f>SUMIFS(지출기록_5월!$H$3:$H$312,지출기록_5월!$E$3:$E$312,B146,지출기록_5월!$F$3:$F$312,참조!$F$2)</f>
        <v>0</v>
      </c>
      <c r="J146" s="31">
        <f>SUMIFS(지출기록_5월!$H$3:$H$312,지출기록_5월!$E$3:$E$312,B146,지출기록_5월!$F$3:$F$312,참조!$F$3)</f>
        <v>0</v>
      </c>
      <c r="K146" s="31">
        <f t="shared" si="18"/>
        <v>0</v>
      </c>
      <c r="L146" s="31">
        <f t="shared" ca="1" si="21"/>
        <v>0</v>
      </c>
      <c r="M146" s="31">
        <f t="shared" si="22"/>
        <v>1000</v>
      </c>
    </row>
    <row r="147" spans="2:13" x14ac:dyDescent="0.3">
      <c r="B147" s="5">
        <f t="shared" si="20"/>
        <v>46163</v>
      </c>
      <c r="C147" s="3">
        <v>5</v>
      </c>
      <c r="D147" s="3">
        <v>21</v>
      </c>
      <c r="E147" s="3">
        <f t="shared" si="19"/>
        <v>5</v>
      </c>
      <c r="F147" s="4" t="str">
        <f>IF($E147=참조!$B$2,참조!$C$2,IF($E147=참조!$B$3,참조!$C$3,IF($E147=참조!$B$4,참조!$C$4,IF($E147=참조!$B$5,참조!$C$5,IF($E147=참조!$B$6,참조!$C$6,IF($E147=참조!$B$7,참조!$C$7,IF($E147=참조!$B$8,참조!$C$8,"")))))))</f>
        <v>木</v>
      </c>
      <c r="G147" s="4" t="str">
        <f>IF($F147=참조!$C$2,참조!$D$2,IF($F147=참조!$C$8,참조!$D$2,IF(COUNTIF('2026년휴일'!$B:$B,$B147)&gt;0,참조!$D$2,참조!$D$3)))</f>
        <v>勤</v>
      </c>
      <c r="H147" s="31">
        <f>IF($G147=참조!$D$3,참조!$E$3,참조!$E$2)</f>
        <v>1000</v>
      </c>
      <c r="I147" s="31">
        <f>SUMIFS(지출기록_5월!$H$3:$H$312,지출기록_5월!$E$3:$E$312,B147,지출기록_5월!$F$3:$F$312,참조!$F$2)</f>
        <v>0</v>
      </c>
      <c r="J147" s="31">
        <f>SUMIFS(지출기록_5월!$H$3:$H$312,지출기록_5월!$E$3:$E$312,B147,지출기록_5월!$F$3:$F$312,참조!$F$3)</f>
        <v>0</v>
      </c>
      <c r="K147" s="31">
        <f t="shared" si="18"/>
        <v>0</v>
      </c>
      <c r="L147" s="31">
        <f t="shared" ca="1" si="21"/>
        <v>0</v>
      </c>
      <c r="M147" s="31">
        <f t="shared" si="22"/>
        <v>1000</v>
      </c>
    </row>
    <row r="148" spans="2:13" x14ac:dyDescent="0.3">
      <c r="B148" s="5">
        <f t="shared" si="20"/>
        <v>46164</v>
      </c>
      <c r="C148" s="3">
        <v>5</v>
      </c>
      <c r="D148" s="3">
        <v>22</v>
      </c>
      <c r="E148" s="3">
        <f t="shared" si="19"/>
        <v>6</v>
      </c>
      <c r="F148" s="4" t="str">
        <f>IF($E148=참조!$B$2,참조!$C$2,IF($E148=참조!$B$3,참조!$C$3,IF($E148=참조!$B$4,참조!$C$4,IF($E148=참조!$B$5,참조!$C$5,IF($E148=참조!$B$6,참조!$C$6,IF($E148=참조!$B$7,참조!$C$7,IF($E148=참조!$B$8,참조!$C$8,"")))))))</f>
        <v>金</v>
      </c>
      <c r="G148" s="4" t="str">
        <f>IF($F148=참조!$C$2,참조!$D$2,IF($F148=참조!$C$8,참조!$D$2,IF(COUNTIF('2026년휴일'!$B:$B,$B148)&gt;0,참조!$D$2,참조!$D$3)))</f>
        <v>勤</v>
      </c>
      <c r="H148" s="31">
        <f>IF($G148=참조!$D$3,참조!$E$3,참조!$E$2)</f>
        <v>1000</v>
      </c>
      <c r="I148" s="31">
        <f>SUMIFS(지출기록_5월!$H$3:$H$312,지출기록_5월!$E$3:$E$312,B148,지출기록_5월!$F$3:$F$312,참조!$F$2)</f>
        <v>0</v>
      </c>
      <c r="J148" s="31">
        <f>SUMIFS(지출기록_5월!$H$3:$H$312,지출기록_5월!$E$3:$E$312,B148,지출기록_5월!$F$3:$F$312,참조!$F$3)</f>
        <v>0</v>
      </c>
      <c r="K148" s="31">
        <f t="shared" si="18"/>
        <v>0</v>
      </c>
      <c r="L148" s="31">
        <f t="shared" ca="1" si="21"/>
        <v>0</v>
      </c>
      <c r="M148" s="31">
        <f t="shared" si="22"/>
        <v>1000</v>
      </c>
    </row>
    <row r="149" spans="2:13" x14ac:dyDescent="0.3">
      <c r="B149" s="5">
        <f t="shared" si="20"/>
        <v>46165</v>
      </c>
      <c r="C149" s="3">
        <v>5</v>
      </c>
      <c r="D149" s="3">
        <v>23</v>
      </c>
      <c r="E149" s="3">
        <f t="shared" si="19"/>
        <v>7</v>
      </c>
      <c r="F149" s="4" t="str">
        <f>IF($E149=참조!$B$2,참조!$C$2,IF($E149=참조!$B$3,참조!$C$3,IF($E149=참조!$B$4,참조!$C$4,IF($E149=참조!$B$5,참조!$C$5,IF($E149=참조!$B$6,참조!$C$6,IF($E149=참조!$B$7,참조!$C$7,IF($E149=참조!$B$8,참조!$C$8,"")))))))</f>
        <v>土</v>
      </c>
      <c r="G149" s="4" t="str">
        <f>IF($F149=참조!$C$2,참조!$D$2,IF($F149=참조!$C$8,참조!$D$2,IF(COUNTIF('2026년휴일'!$B:$B,$B149)&gt;0,참조!$D$2,참조!$D$3)))</f>
        <v>休</v>
      </c>
      <c r="H149" s="31">
        <f>IF($G149=참조!$D$3,참조!$E$3,참조!$E$2)</f>
        <v>5000</v>
      </c>
      <c r="I149" s="31">
        <f>SUMIFS(지출기록_5월!$H$3:$H$312,지출기록_5월!$E$3:$E$312,B149,지출기록_5월!$F$3:$F$312,참조!$F$2)</f>
        <v>0</v>
      </c>
      <c r="J149" s="31">
        <f>SUMIFS(지출기록_5월!$H$3:$H$312,지출기록_5월!$E$3:$E$312,B149,지출기록_5월!$F$3:$F$312,참조!$F$3)</f>
        <v>0</v>
      </c>
      <c r="K149" s="31">
        <f t="shared" si="18"/>
        <v>0</v>
      </c>
      <c r="L149" s="31">
        <f t="shared" ca="1" si="21"/>
        <v>0</v>
      </c>
      <c r="M149" s="31">
        <f t="shared" si="22"/>
        <v>5000</v>
      </c>
    </row>
    <row r="150" spans="2:13" x14ac:dyDescent="0.3">
      <c r="B150" s="5">
        <f t="shared" si="20"/>
        <v>46166</v>
      </c>
      <c r="C150" s="3">
        <v>5</v>
      </c>
      <c r="D150" s="3">
        <v>24</v>
      </c>
      <c r="E150" s="3">
        <f t="shared" si="19"/>
        <v>1</v>
      </c>
      <c r="F150" s="4" t="str">
        <f>IF($E150=참조!$B$2,참조!$C$2,IF($E150=참조!$B$3,참조!$C$3,IF($E150=참조!$B$4,참조!$C$4,IF($E150=참조!$B$5,참조!$C$5,IF($E150=참조!$B$6,참조!$C$6,IF($E150=참조!$B$7,참조!$C$7,IF($E150=참조!$B$8,참조!$C$8,"")))))))</f>
        <v>日</v>
      </c>
      <c r="G150" s="4" t="str">
        <f>IF($F150=참조!$C$2,참조!$D$2,IF($F150=참조!$C$8,참조!$D$2,IF(COUNTIF('2026년휴일'!$B:$B,$B150)&gt;0,참조!$D$2,참조!$D$3)))</f>
        <v>休</v>
      </c>
      <c r="H150" s="31">
        <f>IF($G150=참조!$D$3,참조!$E$3,참조!$E$2)</f>
        <v>5000</v>
      </c>
      <c r="I150" s="31">
        <f>SUMIFS(지출기록_5월!$H$3:$H$312,지출기록_5월!$E$3:$E$312,B150,지출기록_5월!$F$3:$F$312,참조!$F$2)</f>
        <v>0</v>
      </c>
      <c r="J150" s="31">
        <f>SUMIFS(지출기록_5월!$H$3:$H$312,지출기록_5월!$E$3:$E$312,B150,지출기록_5월!$F$3:$F$312,참조!$F$3)</f>
        <v>0</v>
      </c>
      <c r="K150" s="31">
        <f t="shared" si="18"/>
        <v>0</v>
      </c>
      <c r="L150" s="31">
        <f t="shared" ca="1" si="21"/>
        <v>0</v>
      </c>
      <c r="M150" s="31">
        <f t="shared" si="22"/>
        <v>5000</v>
      </c>
    </row>
    <row r="151" spans="2:13" x14ac:dyDescent="0.3">
      <c r="B151" s="5">
        <f t="shared" si="20"/>
        <v>46167</v>
      </c>
      <c r="C151" s="3">
        <v>5</v>
      </c>
      <c r="D151" s="3">
        <v>25</v>
      </c>
      <c r="E151" s="3">
        <f t="shared" si="19"/>
        <v>2</v>
      </c>
      <c r="F151" s="4" t="str">
        <f>IF($E151=참조!$B$2,참조!$C$2,IF($E151=참조!$B$3,참조!$C$3,IF($E151=참조!$B$4,참조!$C$4,IF($E151=참조!$B$5,참조!$C$5,IF($E151=참조!$B$6,참조!$C$6,IF($E151=참조!$B$7,참조!$C$7,IF($E151=참조!$B$8,참조!$C$8,"")))))))</f>
        <v>月</v>
      </c>
      <c r="G151" s="4" t="str">
        <f>IF($F151=참조!$C$2,참조!$D$2,IF($F151=참조!$C$8,참조!$D$2,IF(COUNTIF('2026년휴일'!$B:$B,$B151)&gt;0,참조!$D$2,참조!$D$3)))</f>
        <v>勤</v>
      </c>
      <c r="H151" s="31">
        <f>IF($G151=참조!$D$3,참조!$E$3,참조!$E$2)</f>
        <v>1000</v>
      </c>
      <c r="I151" s="31">
        <f>SUMIFS(지출기록_5월!$H$3:$H$312,지출기록_5월!$E$3:$E$312,B151,지출기록_5월!$F$3:$F$312,참조!$F$2)</f>
        <v>0</v>
      </c>
      <c r="J151" s="31">
        <f>SUMIFS(지출기록_5월!$H$3:$H$312,지출기록_5월!$E$3:$E$312,B151,지출기록_5월!$F$3:$F$312,참조!$F$3)</f>
        <v>0</v>
      </c>
      <c r="K151" s="31">
        <f t="shared" si="18"/>
        <v>0</v>
      </c>
      <c r="L151" s="31">
        <f t="shared" ca="1" si="21"/>
        <v>0</v>
      </c>
      <c r="M151" s="31">
        <f t="shared" si="22"/>
        <v>1000</v>
      </c>
    </row>
    <row r="152" spans="2:13" x14ac:dyDescent="0.3">
      <c r="B152" s="5">
        <f t="shared" si="20"/>
        <v>46168</v>
      </c>
      <c r="C152" s="3">
        <v>5</v>
      </c>
      <c r="D152" s="3">
        <v>26</v>
      </c>
      <c r="E152" s="3">
        <f t="shared" si="19"/>
        <v>3</v>
      </c>
      <c r="F152" s="4" t="str">
        <f>IF($E152=참조!$B$2,참조!$C$2,IF($E152=참조!$B$3,참조!$C$3,IF($E152=참조!$B$4,참조!$C$4,IF($E152=참조!$B$5,참조!$C$5,IF($E152=참조!$B$6,참조!$C$6,IF($E152=참조!$B$7,참조!$C$7,IF($E152=참조!$B$8,참조!$C$8,"")))))))</f>
        <v>火</v>
      </c>
      <c r="G152" s="4" t="str">
        <f>IF($F152=참조!$C$2,참조!$D$2,IF($F152=참조!$C$8,참조!$D$2,IF(COUNTIF('2026년휴일'!$B:$B,$B152)&gt;0,참조!$D$2,참조!$D$3)))</f>
        <v>勤</v>
      </c>
      <c r="H152" s="31">
        <f>IF($G152=참조!$D$3,참조!$E$3,참조!$E$2)</f>
        <v>1000</v>
      </c>
      <c r="I152" s="31">
        <f>SUMIFS(지출기록_5월!$H$3:$H$312,지출기록_5월!$E$3:$E$312,B152,지출기록_5월!$F$3:$F$312,참조!$F$2)</f>
        <v>0</v>
      </c>
      <c r="J152" s="31">
        <f>SUMIFS(지출기록_5월!$H$3:$H$312,지출기록_5월!$E$3:$E$312,B152,지출기록_5월!$F$3:$F$312,참조!$F$3)</f>
        <v>0</v>
      </c>
      <c r="K152" s="31">
        <f t="shared" si="18"/>
        <v>0</v>
      </c>
      <c r="L152" s="31">
        <f t="shared" ca="1" si="21"/>
        <v>0</v>
      </c>
      <c r="M152" s="31">
        <f t="shared" si="22"/>
        <v>1000</v>
      </c>
    </row>
    <row r="153" spans="2:13" x14ac:dyDescent="0.3">
      <c r="B153" s="5">
        <f t="shared" si="20"/>
        <v>46169</v>
      </c>
      <c r="C153" s="3">
        <v>5</v>
      </c>
      <c r="D153" s="3">
        <v>27</v>
      </c>
      <c r="E153" s="3">
        <f t="shared" si="19"/>
        <v>4</v>
      </c>
      <c r="F153" s="4" t="str">
        <f>IF($E153=참조!$B$2,참조!$C$2,IF($E153=참조!$B$3,참조!$C$3,IF($E153=참조!$B$4,참조!$C$4,IF($E153=참조!$B$5,참조!$C$5,IF($E153=참조!$B$6,참조!$C$6,IF($E153=참조!$B$7,참조!$C$7,IF($E153=참조!$B$8,참조!$C$8,"")))))))</f>
        <v>水</v>
      </c>
      <c r="G153" s="4" t="str">
        <f>IF($F153=참조!$C$2,참조!$D$2,IF($F153=참조!$C$8,참조!$D$2,IF(COUNTIF('2026년휴일'!$B:$B,$B153)&gt;0,참조!$D$2,참조!$D$3)))</f>
        <v>勤</v>
      </c>
      <c r="H153" s="31">
        <f>IF($G153=참조!$D$3,참조!$E$3,참조!$E$2)</f>
        <v>1000</v>
      </c>
      <c r="I153" s="31">
        <f>SUMIFS(지출기록_5월!$H$3:$H$312,지출기록_5월!$E$3:$E$312,B153,지출기록_5월!$F$3:$F$312,참조!$F$2)</f>
        <v>0</v>
      </c>
      <c r="J153" s="31">
        <f>SUMIFS(지출기록_5월!$H$3:$H$312,지출기록_5월!$E$3:$E$312,B153,지출기록_5월!$F$3:$F$312,참조!$F$3)</f>
        <v>0</v>
      </c>
      <c r="K153" s="31">
        <f t="shared" si="18"/>
        <v>0</v>
      </c>
      <c r="L153" s="31">
        <f t="shared" ca="1" si="21"/>
        <v>1000</v>
      </c>
      <c r="M153" s="31">
        <f t="shared" si="22"/>
        <v>1000</v>
      </c>
    </row>
    <row r="154" spans="2:13" ht="12.75" customHeight="1" x14ac:dyDescent="0.3">
      <c r="B154" s="5">
        <f t="shared" si="20"/>
        <v>46170</v>
      </c>
      <c r="C154" s="3">
        <v>5</v>
      </c>
      <c r="D154" s="3">
        <v>28</v>
      </c>
      <c r="E154" s="3">
        <f t="shared" si="19"/>
        <v>5</v>
      </c>
      <c r="F154" s="4" t="str">
        <f>IF($E154=참조!$B$2,참조!$C$2,IF($E154=참조!$B$3,참조!$C$3,IF($E154=참조!$B$4,참조!$C$4,IF($E154=참조!$B$5,참조!$C$5,IF($E154=참조!$B$6,참조!$C$6,IF($E154=참조!$B$7,참조!$C$7,IF($E154=참조!$B$8,참조!$C$8,"")))))))</f>
        <v>木</v>
      </c>
      <c r="G154" s="4" t="str">
        <f>IF($F154=참조!$C$2,참조!$D$2,IF($F154=참조!$C$8,참조!$D$2,IF(COUNTIF('2026년휴일'!$B:$B,$B154)&gt;0,참조!$D$2,참조!$D$3)))</f>
        <v>勤</v>
      </c>
      <c r="H154" s="31">
        <f>IF($G154=참조!$D$3,참조!$E$3,참조!$E$2)</f>
        <v>1000</v>
      </c>
      <c r="I154" s="31">
        <f>SUMIFS(지출기록_5월!$H$3:$H$312,지출기록_5월!$E$3:$E$312,B154,지출기록_5월!$F$3:$F$312,참조!$F$2)</f>
        <v>0</v>
      </c>
      <c r="J154" s="31">
        <f>SUMIFS(지출기록_5월!$H$3:$H$312,지출기록_5월!$E$3:$E$312,B154,지출기록_5월!$F$3:$F$312,참조!$F$3)</f>
        <v>0</v>
      </c>
      <c r="K154" s="31">
        <f t="shared" si="18"/>
        <v>0</v>
      </c>
      <c r="L154" s="31">
        <f t="shared" ca="1" si="21"/>
        <v>1000</v>
      </c>
      <c r="M154" s="31">
        <f t="shared" si="22"/>
        <v>1000</v>
      </c>
    </row>
    <row r="155" spans="2:13" x14ac:dyDescent="0.3">
      <c r="B155" s="5">
        <f t="shared" si="20"/>
        <v>46171</v>
      </c>
      <c r="C155" s="3">
        <v>5</v>
      </c>
      <c r="D155" s="3">
        <v>29</v>
      </c>
      <c r="E155" s="3">
        <f t="shared" si="19"/>
        <v>6</v>
      </c>
      <c r="F155" s="4" t="str">
        <f>IF($E155=참조!$B$2,참조!$C$2,IF($E155=참조!$B$3,참조!$C$3,IF($E155=참조!$B$4,참조!$C$4,IF($E155=참조!$B$5,참조!$C$5,IF($E155=참조!$B$6,참조!$C$6,IF($E155=참조!$B$7,참조!$C$7,IF($E155=참조!$B$8,참조!$C$8,"")))))))</f>
        <v>金</v>
      </c>
      <c r="G155" s="4" t="str">
        <f>IF($F155=참조!$C$2,참조!$D$2,IF($F155=참조!$C$8,참조!$D$2,IF(COUNTIF('2026년휴일'!$B:$B,$B155)&gt;0,참조!$D$2,참조!$D$3)))</f>
        <v>勤</v>
      </c>
      <c r="H155" s="31">
        <f>IF($G155=참조!$D$3,참조!$E$3,참조!$E$2)</f>
        <v>1000</v>
      </c>
      <c r="I155" s="31">
        <f>SUMIFS(지출기록_5월!$H$3:$H$312,지출기록_5월!$E$3:$E$312,B155,지출기록_5월!$F$3:$F$312,참조!$F$2)</f>
        <v>0</v>
      </c>
      <c r="J155" s="31">
        <f>SUMIFS(지출기록_5월!$H$3:$H$312,지출기록_5월!$E$3:$E$312,B155,지출기록_5월!$F$3:$F$312,참조!$F$3)</f>
        <v>0</v>
      </c>
      <c r="K155" s="31">
        <f t="shared" si="18"/>
        <v>0</v>
      </c>
      <c r="L155" s="31">
        <f t="shared" ca="1" si="21"/>
        <v>1000</v>
      </c>
      <c r="M155" s="31">
        <f t="shared" si="22"/>
        <v>1000</v>
      </c>
    </row>
    <row r="156" spans="2:13" x14ac:dyDescent="0.3">
      <c r="B156" s="5">
        <f t="shared" si="20"/>
        <v>46172</v>
      </c>
      <c r="C156" s="3">
        <v>5</v>
      </c>
      <c r="D156" s="3">
        <v>30</v>
      </c>
      <c r="E156" s="3">
        <f t="shared" si="19"/>
        <v>7</v>
      </c>
      <c r="F156" s="4" t="str">
        <f>IF($E156=참조!$B$2,참조!$C$2,IF($E156=참조!$B$3,참조!$C$3,IF($E156=참조!$B$4,참조!$C$4,IF($E156=참조!$B$5,참조!$C$5,IF($E156=참조!$B$6,참조!$C$6,IF($E156=참조!$B$7,참조!$C$7,IF($E156=참조!$B$8,참조!$C$8,"")))))))</f>
        <v>土</v>
      </c>
      <c r="G156" s="4" t="str">
        <f>IF($F156=참조!$C$2,참조!$D$2,IF($F156=참조!$C$8,참조!$D$2,IF(COUNTIF('2026년휴일'!$B:$B,$B156)&gt;0,참조!$D$2,참조!$D$3)))</f>
        <v>休</v>
      </c>
      <c r="H156" s="31">
        <f>IF($G156=참조!$D$3,참조!$E$3,참조!$E$2)</f>
        <v>5000</v>
      </c>
      <c r="I156" s="31">
        <f>SUMIFS(지출기록_5월!$H$3:$H$312,지출기록_5월!$E$3:$E$312,B156,지출기록_5월!$F$3:$F$312,참조!$F$2)</f>
        <v>0</v>
      </c>
      <c r="J156" s="31">
        <f>SUMIFS(지출기록_5월!$H$3:$H$312,지출기록_5월!$E$3:$E$312,B156,지출기록_5월!$F$3:$F$312,참조!$F$3)</f>
        <v>0</v>
      </c>
      <c r="K156" s="31">
        <f t="shared" si="18"/>
        <v>0</v>
      </c>
      <c r="L156" s="31">
        <f t="shared" ca="1" si="21"/>
        <v>5000</v>
      </c>
      <c r="M156" s="31">
        <f t="shared" si="22"/>
        <v>5000</v>
      </c>
    </row>
    <row r="157" spans="2:13" x14ac:dyDescent="0.3">
      <c r="B157" s="5">
        <f t="shared" si="20"/>
        <v>46173</v>
      </c>
      <c r="C157" s="3">
        <v>5</v>
      </c>
      <c r="D157" s="3">
        <v>31</v>
      </c>
      <c r="E157" s="3">
        <f t="shared" si="19"/>
        <v>1</v>
      </c>
      <c r="F157" s="4" t="str">
        <f>IF($E157=참조!$B$2,참조!$C$2,IF($E157=참조!$B$3,참조!$C$3,IF($E157=참조!$B$4,참조!$C$4,IF($E157=참조!$B$5,참조!$C$5,IF($E157=참조!$B$6,참조!$C$6,IF($E157=참조!$B$7,참조!$C$7,IF($E157=참조!$B$8,참조!$C$8,"")))))))</f>
        <v>日</v>
      </c>
      <c r="G157" s="4" t="str">
        <f>IF($F157=참조!$C$2,참조!$D$2,IF($F157=참조!$C$8,참조!$D$2,IF(COUNTIF('2026년휴일'!$B:$B,$B157)&gt;0,참조!$D$2,참조!$D$3)))</f>
        <v>休</v>
      </c>
      <c r="H157" s="31">
        <f>IF($G157=참조!$D$3,참조!$E$3,참조!$E$2)</f>
        <v>5000</v>
      </c>
      <c r="I157" s="31">
        <f>SUMIFS(지출기록_5월!$H$3:$H$312,지출기록_5월!$E$3:$E$312,B157,지출기록_5월!$F$3:$F$312,참조!$F$2)</f>
        <v>0</v>
      </c>
      <c r="J157" s="31">
        <f>SUMIFS(지출기록_5월!$H$3:$H$312,지출기록_5월!$E$3:$E$312,B157,지출기록_5월!$F$3:$F$312,참조!$F$3)</f>
        <v>0</v>
      </c>
      <c r="K157" s="31">
        <f t="shared" si="18"/>
        <v>0</v>
      </c>
      <c r="L157" s="31">
        <f t="shared" ca="1" si="21"/>
        <v>5000</v>
      </c>
      <c r="M157" s="31">
        <f t="shared" si="22"/>
        <v>5000</v>
      </c>
    </row>
    <row r="158" spans="2:13" x14ac:dyDescent="0.3">
      <c r="B158" s="5">
        <f t="shared" si="20"/>
        <v>46174</v>
      </c>
      <c r="C158" s="3">
        <v>6</v>
      </c>
      <c r="D158" s="3">
        <v>1</v>
      </c>
      <c r="E158" s="3">
        <f t="shared" si="19"/>
        <v>2</v>
      </c>
      <c r="F158" s="4" t="str">
        <f>IF($E158=참조!$B$2,참조!$C$2,IF($E158=참조!$B$3,참조!$C$3,IF($E158=참조!$B$4,참조!$C$4,IF($E158=참조!$B$5,참조!$C$5,IF($E158=참조!$B$6,참조!$C$6,IF($E158=참조!$B$7,참조!$C$7,IF($E158=참조!$B$8,참조!$C$8,"")))))))</f>
        <v>月</v>
      </c>
      <c r="G158" s="4" t="str">
        <f>IF($F158=참조!$C$2,참조!$D$2,IF($F158=참조!$C$8,참조!$D$2,IF(COUNTIF('2026년휴일'!$B:$B,$B158)&gt;0,참조!$D$2,참조!$D$3)))</f>
        <v>勤</v>
      </c>
      <c r="H158" s="31">
        <f>IF($G158=참조!$D$3,참조!$E$3,참조!$E$2)</f>
        <v>1000</v>
      </c>
      <c r="I158" s="31">
        <f>SUMIFS(지출기록_6월!$H$3:$H$312,지출기록_6월!$E$3:$E$312,B158,지출기록_6월!$F$3:$F$312,참조!$F$2)</f>
        <v>0</v>
      </c>
      <c r="J158" s="31">
        <f>SUMIFS(지출기록_6월!$H$3:$H$312,지출기록_6월!$E$3:$E$312,B158,지출기록_6월!$F$3:$F$312,참조!$F$3)</f>
        <v>0</v>
      </c>
      <c r="K158" s="31">
        <f t="shared" si="18"/>
        <v>0</v>
      </c>
      <c r="L158" s="31">
        <f t="shared" ca="1" si="21"/>
        <v>1000</v>
      </c>
      <c r="M158" s="31">
        <f t="shared" si="22"/>
        <v>1000</v>
      </c>
    </row>
    <row r="159" spans="2:13" x14ac:dyDescent="0.3">
      <c r="B159" s="5">
        <f t="shared" si="20"/>
        <v>46175</v>
      </c>
      <c r="C159" s="3">
        <v>6</v>
      </c>
      <c r="D159" s="3">
        <v>2</v>
      </c>
      <c r="E159" s="3">
        <f t="shared" si="19"/>
        <v>3</v>
      </c>
      <c r="F159" s="4" t="str">
        <f>IF($E159=참조!$B$2,참조!$C$2,IF($E159=참조!$B$3,참조!$C$3,IF($E159=참조!$B$4,참조!$C$4,IF($E159=참조!$B$5,참조!$C$5,IF($E159=참조!$B$6,참조!$C$6,IF($E159=참조!$B$7,참조!$C$7,IF($E159=참조!$B$8,참조!$C$8,"")))))))</f>
        <v>火</v>
      </c>
      <c r="G159" s="4" t="str">
        <f>IF($F159=참조!$C$2,참조!$D$2,IF($F159=참조!$C$8,참조!$D$2,IF(COUNTIF('2026년휴일'!$B:$B,$B159)&gt;0,참조!$D$2,참조!$D$3)))</f>
        <v>勤</v>
      </c>
      <c r="H159" s="31">
        <f>IF($G159=참조!$D$3,참조!$E$3,참조!$E$2)</f>
        <v>1000</v>
      </c>
      <c r="I159" s="31">
        <f>SUMIFS(지출기록_6월!$H$3:$H$312,지출기록_6월!$E$3:$E$312,B159,지출기록_6월!$F$3:$F$312,참조!$F$2)</f>
        <v>0</v>
      </c>
      <c r="J159" s="31">
        <f>SUMIFS(지출기록_6월!$H$3:$H$312,지출기록_6월!$E$3:$E$312,B159,지출기록_6월!$F$3:$F$312,참조!$F$3)</f>
        <v>0</v>
      </c>
      <c r="K159" s="31">
        <f t="shared" ref="K159:K187" si="23">I159-J159</f>
        <v>0</v>
      </c>
      <c r="L159" s="31">
        <f t="shared" ca="1" si="21"/>
        <v>1000</v>
      </c>
      <c r="M159" s="31">
        <f t="shared" si="22"/>
        <v>1000</v>
      </c>
    </row>
    <row r="160" spans="2:13" x14ac:dyDescent="0.3">
      <c r="B160" s="5">
        <f t="shared" si="20"/>
        <v>46176</v>
      </c>
      <c r="C160" s="3">
        <v>6</v>
      </c>
      <c r="D160" s="3">
        <v>3</v>
      </c>
      <c r="E160" s="3">
        <f t="shared" si="19"/>
        <v>4</v>
      </c>
      <c r="F160" s="4" t="str">
        <f>IF($E160=참조!$B$2,참조!$C$2,IF($E160=참조!$B$3,참조!$C$3,IF($E160=참조!$B$4,참조!$C$4,IF($E160=참조!$B$5,참조!$C$5,IF($E160=참조!$B$6,참조!$C$6,IF($E160=참조!$B$7,참조!$C$7,IF($E160=참조!$B$8,참조!$C$8,"")))))))</f>
        <v>水</v>
      </c>
      <c r="G160" s="4" t="str">
        <f>IF($F160=참조!$C$2,참조!$D$2,IF($F160=참조!$C$8,참조!$D$2,IF(COUNTIF('2026년휴일'!$B:$B,$B160)&gt;0,참조!$D$2,참조!$D$3)))</f>
        <v>勤</v>
      </c>
      <c r="H160" s="31">
        <f>IF($G160=참조!$D$3,참조!$E$3,참조!$E$2)</f>
        <v>1000</v>
      </c>
      <c r="I160" s="31">
        <f>SUMIFS(지출기록_6월!$H$3:$H$312,지출기록_6월!$E$3:$E$312,B160,지출기록_6월!$F$3:$F$312,참조!$F$2)</f>
        <v>0</v>
      </c>
      <c r="J160" s="31">
        <f>SUMIFS(지출기록_6월!$H$3:$H$312,지출기록_6월!$E$3:$E$312,B160,지출기록_6월!$F$3:$F$312,참조!$F$3)</f>
        <v>0</v>
      </c>
      <c r="K160" s="31">
        <f t="shared" si="23"/>
        <v>0</v>
      </c>
      <c r="L160" s="31">
        <f t="shared" ca="1" si="21"/>
        <v>1000</v>
      </c>
      <c r="M160" s="31">
        <f t="shared" si="22"/>
        <v>1000</v>
      </c>
    </row>
    <row r="161" spans="2:13" x14ac:dyDescent="0.3">
      <c r="B161" s="5">
        <f t="shared" si="20"/>
        <v>46177</v>
      </c>
      <c r="C161" s="3">
        <v>6</v>
      </c>
      <c r="D161" s="3">
        <v>4</v>
      </c>
      <c r="E161" s="3">
        <f t="shared" si="19"/>
        <v>5</v>
      </c>
      <c r="F161" s="4" t="str">
        <f>IF($E161=참조!$B$2,참조!$C$2,IF($E161=참조!$B$3,참조!$C$3,IF($E161=참조!$B$4,참조!$C$4,IF($E161=참조!$B$5,참조!$C$5,IF($E161=참조!$B$6,참조!$C$6,IF($E161=참조!$B$7,참조!$C$7,IF($E161=참조!$B$8,참조!$C$8,"")))))))</f>
        <v>木</v>
      </c>
      <c r="G161" s="4" t="str">
        <f>IF($F161=참조!$C$2,참조!$D$2,IF($F161=참조!$C$8,참조!$D$2,IF(COUNTIF('2026년휴일'!$B:$B,$B161)&gt;0,참조!$D$2,참조!$D$3)))</f>
        <v>勤</v>
      </c>
      <c r="H161" s="31">
        <f>IF($G161=참조!$D$3,참조!$E$3,참조!$E$2)</f>
        <v>1000</v>
      </c>
      <c r="I161" s="31">
        <f>SUMIFS(지출기록_6월!$H$3:$H$312,지출기록_6월!$E$3:$E$312,B161,지출기록_6월!$F$3:$F$312,참조!$F$2)</f>
        <v>0</v>
      </c>
      <c r="J161" s="31">
        <f>SUMIFS(지출기록_6월!$H$3:$H$312,지출기록_6월!$E$3:$E$312,B161,지출기록_6월!$F$3:$F$312,참조!$F$3)</f>
        <v>0</v>
      </c>
      <c r="K161" s="31">
        <f t="shared" si="23"/>
        <v>0</v>
      </c>
      <c r="L161" s="31">
        <f t="shared" ca="1" si="21"/>
        <v>1000</v>
      </c>
      <c r="M161" s="31">
        <f t="shared" si="22"/>
        <v>1000</v>
      </c>
    </row>
    <row r="162" spans="2:13" x14ac:dyDescent="0.3">
      <c r="B162" s="5">
        <f t="shared" si="20"/>
        <v>46178</v>
      </c>
      <c r="C162" s="3">
        <v>6</v>
      </c>
      <c r="D162" s="3">
        <v>5</v>
      </c>
      <c r="E162" s="3">
        <f t="shared" si="19"/>
        <v>6</v>
      </c>
      <c r="F162" s="4" t="str">
        <f>IF($E162=참조!$B$2,참조!$C$2,IF($E162=참조!$B$3,참조!$C$3,IF($E162=참조!$B$4,참조!$C$4,IF($E162=참조!$B$5,참조!$C$5,IF($E162=참조!$B$6,참조!$C$6,IF($E162=참조!$B$7,참조!$C$7,IF($E162=참조!$B$8,참조!$C$8,"")))))))</f>
        <v>金</v>
      </c>
      <c r="G162" s="4" t="str">
        <f>IF($F162=참조!$C$2,참조!$D$2,IF($F162=참조!$C$8,참조!$D$2,IF(COUNTIF('2026년휴일'!$B:$B,$B162)&gt;0,참조!$D$2,참조!$D$3)))</f>
        <v>勤</v>
      </c>
      <c r="H162" s="31">
        <f>IF($G162=참조!$D$3,참조!$E$3,참조!$E$2)</f>
        <v>1000</v>
      </c>
      <c r="I162" s="31">
        <f>SUMIFS(지출기록_6월!$H$3:$H$312,지출기록_6월!$E$3:$E$312,B162,지출기록_6월!$F$3:$F$312,참조!$F$2)</f>
        <v>0</v>
      </c>
      <c r="J162" s="31">
        <f>SUMIFS(지출기록_6월!$H$3:$H$312,지출기록_6월!$E$3:$E$312,B162,지출기록_6월!$F$3:$F$312,참조!$F$3)</f>
        <v>0</v>
      </c>
      <c r="K162" s="31">
        <f t="shared" si="23"/>
        <v>0</v>
      </c>
      <c r="L162" s="31">
        <f t="shared" ca="1" si="21"/>
        <v>1000</v>
      </c>
      <c r="M162" s="31">
        <f t="shared" si="22"/>
        <v>1000</v>
      </c>
    </row>
    <row r="163" spans="2:13" x14ac:dyDescent="0.3">
      <c r="B163" s="5">
        <f t="shared" si="20"/>
        <v>46179</v>
      </c>
      <c r="C163" s="3">
        <v>6</v>
      </c>
      <c r="D163" s="3">
        <v>6</v>
      </c>
      <c r="E163" s="3">
        <f t="shared" si="19"/>
        <v>7</v>
      </c>
      <c r="F163" s="4" t="str">
        <f>IF($E163=참조!$B$2,참조!$C$2,IF($E163=참조!$B$3,참조!$C$3,IF($E163=참조!$B$4,참조!$C$4,IF($E163=참조!$B$5,참조!$C$5,IF($E163=참조!$B$6,참조!$C$6,IF($E163=참조!$B$7,참조!$C$7,IF($E163=참조!$B$8,참조!$C$8,"")))))))</f>
        <v>土</v>
      </c>
      <c r="G163" s="4" t="str">
        <f>IF($F163=참조!$C$2,참조!$D$2,IF($F163=참조!$C$8,참조!$D$2,IF(COUNTIF('2026년휴일'!$B:$B,$B163)&gt;0,참조!$D$2,참조!$D$3)))</f>
        <v>休</v>
      </c>
      <c r="H163" s="31">
        <f>IF($G163=참조!$D$3,참조!$E$3,참조!$E$2)</f>
        <v>5000</v>
      </c>
      <c r="I163" s="31">
        <f>SUMIFS(지출기록_6월!$H$3:$H$312,지출기록_6월!$E$3:$E$312,B163,지출기록_6월!$F$3:$F$312,참조!$F$2)</f>
        <v>0</v>
      </c>
      <c r="J163" s="31">
        <f>SUMIFS(지출기록_6월!$H$3:$H$312,지출기록_6월!$E$3:$E$312,B163,지출기록_6월!$F$3:$F$312,참조!$F$3)</f>
        <v>0</v>
      </c>
      <c r="K163" s="31">
        <f t="shared" si="23"/>
        <v>0</v>
      </c>
      <c r="L163" s="31">
        <f t="shared" ca="1" si="21"/>
        <v>5000</v>
      </c>
      <c r="M163" s="31">
        <f t="shared" si="22"/>
        <v>5000</v>
      </c>
    </row>
    <row r="164" spans="2:13" x14ac:dyDescent="0.3">
      <c r="B164" s="5">
        <f t="shared" si="20"/>
        <v>46180</v>
      </c>
      <c r="C164" s="3">
        <v>6</v>
      </c>
      <c r="D164" s="3">
        <v>7</v>
      </c>
      <c r="E164" s="3">
        <f t="shared" si="19"/>
        <v>1</v>
      </c>
      <c r="F164" s="4" t="str">
        <f>IF($E164=참조!$B$2,참조!$C$2,IF($E164=참조!$B$3,참조!$C$3,IF($E164=참조!$B$4,참조!$C$4,IF($E164=참조!$B$5,참조!$C$5,IF($E164=참조!$B$6,참조!$C$6,IF($E164=참조!$B$7,참조!$C$7,IF($E164=참조!$B$8,참조!$C$8,"")))))))</f>
        <v>日</v>
      </c>
      <c r="G164" s="4" t="str">
        <f>IF($F164=참조!$C$2,참조!$D$2,IF($F164=참조!$C$8,참조!$D$2,IF(COUNTIF('2026년휴일'!$B:$B,$B164)&gt;0,참조!$D$2,참조!$D$3)))</f>
        <v>休</v>
      </c>
      <c r="H164" s="31">
        <f>IF($G164=참조!$D$3,참조!$E$3,참조!$E$2)</f>
        <v>5000</v>
      </c>
      <c r="I164" s="31">
        <f>SUMIFS(지출기록_6월!$H$3:$H$312,지출기록_6월!$E$3:$E$312,B164,지출기록_6월!$F$3:$F$312,참조!$F$2)</f>
        <v>0</v>
      </c>
      <c r="J164" s="31">
        <f>SUMIFS(지출기록_6월!$H$3:$H$312,지출기록_6월!$E$3:$E$312,B164,지출기록_6월!$F$3:$F$312,참조!$F$3)</f>
        <v>0</v>
      </c>
      <c r="K164" s="31">
        <f t="shared" si="23"/>
        <v>0</v>
      </c>
      <c r="L164" s="31">
        <f t="shared" ca="1" si="21"/>
        <v>5000</v>
      </c>
      <c r="M164" s="31">
        <f t="shared" si="22"/>
        <v>5000</v>
      </c>
    </row>
    <row r="165" spans="2:13" x14ac:dyDescent="0.3">
      <c r="B165" s="5">
        <f t="shared" si="20"/>
        <v>46181</v>
      </c>
      <c r="C165" s="3">
        <v>6</v>
      </c>
      <c r="D165" s="3">
        <v>8</v>
      </c>
      <c r="E165" s="3">
        <f t="shared" si="19"/>
        <v>2</v>
      </c>
      <c r="F165" s="4" t="str">
        <f>IF($E165=참조!$B$2,참조!$C$2,IF($E165=참조!$B$3,참조!$C$3,IF($E165=참조!$B$4,참조!$C$4,IF($E165=참조!$B$5,참조!$C$5,IF($E165=참조!$B$6,참조!$C$6,IF($E165=참조!$B$7,참조!$C$7,IF($E165=참조!$B$8,참조!$C$8,"")))))))</f>
        <v>月</v>
      </c>
      <c r="G165" s="4" t="str">
        <f>IF($F165=참조!$C$2,참조!$D$2,IF($F165=참조!$C$8,참조!$D$2,IF(COUNTIF('2026년휴일'!$B:$B,$B165)&gt;0,참조!$D$2,참조!$D$3)))</f>
        <v>勤</v>
      </c>
      <c r="H165" s="31">
        <f>IF($G165=참조!$D$3,참조!$E$3,참조!$E$2)</f>
        <v>1000</v>
      </c>
      <c r="I165" s="31">
        <f>SUMIFS(지출기록_6월!$H$3:$H$312,지출기록_6월!$E$3:$E$312,B165,지출기록_6월!$F$3:$F$312,참조!$F$2)</f>
        <v>0</v>
      </c>
      <c r="J165" s="31">
        <f>SUMIFS(지출기록_6월!$H$3:$H$312,지출기록_6월!$E$3:$E$312,B165,지출기록_6월!$F$3:$F$312,참조!$F$3)</f>
        <v>0</v>
      </c>
      <c r="K165" s="31">
        <f t="shared" si="23"/>
        <v>0</v>
      </c>
      <c r="L165" s="31">
        <f t="shared" ca="1" si="21"/>
        <v>1000</v>
      </c>
      <c r="M165" s="31">
        <f t="shared" si="22"/>
        <v>1000</v>
      </c>
    </row>
    <row r="166" spans="2:13" x14ac:dyDescent="0.3">
      <c r="B166" s="5">
        <f t="shared" si="20"/>
        <v>46182</v>
      </c>
      <c r="C166" s="3">
        <v>6</v>
      </c>
      <c r="D166" s="3">
        <v>9</v>
      </c>
      <c r="E166" s="3">
        <f t="shared" si="19"/>
        <v>3</v>
      </c>
      <c r="F166" s="4" t="str">
        <f>IF($E166=참조!$B$2,참조!$C$2,IF($E166=참조!$B$3,참조!$C$3,IF($E166=참조!$B$4,참조!$C$4,IF($E166=참조!$B$5,참조!$C$5,IF($E166=참조!$B$6,참조!$C$6,IF($E166=참조!$B$7,참조!$C$7,IF($E166=참조!$B$8,참조!$C$8,"")))))))</f>
        <v>火</v>
      </c>
      <c r="G166" s="4" t="str">
        <f>IF($F166=참조!$C$2,참조!$D$2,IF($F166=참조!$C$8,참조!$D$2,IF(COUNTIF('2026년휴일'!$B:$B,$B166)&gt;0,참조!$D$2,참조!$D$3)))</f>
        <v>勤</v>
      </c>
      <c r="H166" s="31">
        <f>IF($G166=참조!$D$3,참조!$E$3,참조!$E$2)</f>
        <v>1000</v>
      </c>
      <c r="I166" s="31">
        <f>SUMIFS(지출기록_6월!$H$3:$H$312,지출기록_6월!$E$3:$E$312,B166,지출기록_6월!$F$3:$F$312,참조!$F$2)</f>
        <v>0</v>
      </c>
      <c r="J166" s="31">
        <f>SUMIFS(지출기록_6월!$H$3:$H$312,지출기록_6월!$E$3:$E$312,B166,지출기록_6월!$F$3:$F$312,참조!$F$3)</f>
        <v>0</v>
      </c>
      <c r="K166" s="31">
        <f t="shared" si="23"/>
        <v>0</v>
      </c>
      <c r="L166" s="31">
        <f t="shared" ca="1" si="21"/>
        <v>1000</v>
      </c>
      <c r="M166" s="31">
        <f t="shared" si="22"/>
        <v>1000</v>
      </c>
    </row>
    <row r="167" spans="2:13" x14ac:dyDescent="0.3">
      <c r="B167" s="5">
        <f t="shared" si="20"/>
        <v>46183</v>
      </c>
      <c r="C167" s="3">
        <v>6</v>
      </c>
      <c r="D167" s="3">
        <v>10</v>
      </c>
      <c r="E167" s="3">
        <f t="shared" si="19"/>
        <v>4</v>
      </c>
      <c r="F167" s="4" t="str">
        <f>IF($E167=참조!$B$2,참조!$C$2,IF($E167=참조!$B$3,참조!$C$3,IF($E167=참조!$B$4,참조!$C$4,IF($E167=참조!$B$5,참조!$C$5,IF($E167=참조!$B$6,참조!$C$6,IF($E167=참조!$B$7,참조!$C$7,IF($E167=참조!$B$8,참조!$C$8,"")))))))</f>
        <v>水</v>
      </c>
      <c r="G167" s="4" t="str">
        <f>IF($F167=참조!$C$2,참조!$D$2,IF($F167=참조!$C$8,참조!$D$2,IF(COUNTIF('2026년휴일'!$B:$B,$B167)&gt;0,참조!$D$2,참조!$D$3)))</f>
        <v>勤</v>
      </c>
      <c r="H167" s="31">
        <f>IF($G167=참조!$D$3,참조!$E$3,참조!$E$2)</f>
        <v>1000</v>
      </c>
      <c r="I167" s="31">
        <f>SUMIFS(지출기록_6월!$H$3:$H$312,지출기록_6월!$E$3:$E$312,B167,지출기록_6월!$F$3:$F$312,참조!$F$2)</f>
        <v>0</v>
      </c>
      <c r="J167" s="31">
        <f>SUMIFS(지출기록_6월!$H$3:$H$312,지출기록_6월!$E$3:$E$312,B167,지출기록_6월!$F$3:$F$312,참조!$F$3)</f>
        <v>0</v>
      </c>
      <c r="K167" s="31">
        <f t="shared" si="23"/>
        <v>0</v>
      </c>
      <c r="L167" s="31">
        <f t="shared" ca="1" si="21"/>
        <v>1000</v>
      </c>
      <c r="M167" s="31">
        <f t="shared" si="22"/>
        <v>1000</v>
      </c>
    </row>
    <row r="168" spans="2:13" x14ac:dyDescent="0.3">
      <c r="B168" s="5">
        <f t="shared" si="20"/>
        <v>46184</v>
      </c>
      <c r="C168" s="3">
        <v>6</v>
      </c>
      <c r="D168" s="3">
        <v>11</v>
      </c>
      <c r="E168" s="3">
        <f t="shared" si="19"/>
        <v>5</v>
      </c>
      <c r="F168" s="4" t="str">
        <f>IF($E168=참조!$B$2,참조!$C$2,IF($E168=참조!$B$3,참조!$C$3,IF($E168=참조!$B$4,참조!$C$4,IF($E168=참조!$B$5,참조!$C$5,IF($E168=참조!$B$6,참조!$C$6,IF($E168=참조!$B$7,참조!$C$7,IF($E168=참조!$B$8,참조!$C$8,"")))))))</f>
        <v>木</v>
      </c>
      <c r="G168" s="4" t="str">
        <f>IF($F168=참조!$C$2,참조!$D$2,IF($F168=참조!$C$8,참조!$D$2,IF(COUNTIF('2026년휴일'!$B:$B,$B168)&gt;0,참조!$D$2,참조!$D$3)))</f>
        <v>勤</v>
      </c>
      <c r="H168" s="31">
        <f>IF($G168=참조!$D$3,참조!$E$3,참조!$E$2)</f>
        <v>1000</v>
      </c>
      <c r="I168" s="31">
        <f>SUMIFS(지출기록_6월!$H$3:$H$312,지출기록_6월!$E$3:$E$312,B168,지출기록_6월!$F$3:$F$312,참조!$F$2)</f>
        <v>0</v>
      </c>
      <c r="J168" s="31">
        <f>SUMIFS(지출기록_6월!$H$3:$H$312,지출기록_6월!$E$3:$E$312,B168,지출기록_6월!$F$3:$F$312,참조!$F$3)</f>
        <v>0</v>
      </c>
      <c r="K168" s="31">
        <f t="shared" si="23"/>
        <v>0</v>
      </c>
      <c r="L168" s="31">
        <f t="shared" ca="1" si="21"/>
        <v>1000</v>
      </c>
      <c r="M168" s="31">
        <f t="shared" si="22"/>
        <v>1000</v>
      </c>
    </row>
    <row r="169" spans="2:13" x14ac:dyDescent="0.3">
      <c r="B169" s="5">
        <f t="shared" si="20"/>
        <v>46185</v>
      </c>
      <c r="C169" s="3">
        <v>6</v>
      </c>
      <c r="D169" s="3">
        <v>12</v>
      </c>
      <c r="E169" s="3">
        <f t="shared" si="19"/>
        <v>6</v>
      </c>
      <c r="F169" s="4" t="str">
        <f>IF($E169=참조!$B$2,참조!$C$2,IF($E169=참조!$B$3,참조!$C$3,IF($E169=참조!$B$4,참조!$C$4,IF($E169=참조!$B$5,참조!$C$5,IF($E169=참조!$B$6,참조!$C$6,IF($E169=참조!$B$7,참조!$C$7,IF($E169=참조!$B$8,참조!$C$8,"")))))))</f>
        <v>金</v>
      </c>
      <c r="G169" s="4" t="str">
        <f>IF($F169=참조!$C$2,참조!$D$2,IF($F169=참조!$C$8,참조!$D$2,IF(COUNTIF('2026년휴일'!$B:$B,$B169)&gt;0,참조!$D$2,참조!$D$3)))</f>
        <v>勤</v>
      </c>
      <c r="H169" s="31">
        <f>IF($G169=참조!$D$3,참조!$E$3,참조!$E$2)</f>
        <v>1000</v>
      </c>
      <c r="I169" s="31">
        <f>SUMIFS(지출기록_6월!$H$3:$H$312,지출기록_6월!$E$3:$E$312,B169,지출기록_6월!$F$3:$F$312,참조!$F$2)</f>
        <v>0</v>
      </c>
      <c r="J169" s="31">
        <f>SUMIFS(지출기록_6월!$H$3:$H$312,지출기록_6월!$E$3:$E$312,B169,지출기록_6월!$F$3:$F$312,참조!$F$3)</f>
        <v>0</v>
      </c>
      <c r="K169" s="31">
        <f t="shared" si="23"/>
        <v>0</v>
      </c>
      <c r="L169" s="31">
        <f t="shared" ca="1" si="21"/>
        <v>1000</v>
      </c>
      <c r="M169" s="31">
        <f t="shared" si="22"/>
        <v>1000</v>
      </c>
    </row>
    <row r="170" spans="2:13" x14ac:dyDescent="0.3">
      <c r="B170" s="5">
        <f t="shared" si="20"/>
        <v>46186</v>
      </c>
      <c r="C170" s="3">
        <v>6</v>
      </c>
      <c r="D170" s="3">
        <v>13</v>
      </c>
      <c r="E170" s="3">
        <f t="shared" si="19"/>
        <v>7</v>
      </c>
      <c r="F170" s="4" t="str">
        <f>IF($E170=참조!$B$2,참조!$C$2,IF($E170=참조!$B$3,참조!$C$3,IF($E170=참조!$B$4,참조!$C$4,IF($E170=참조!$B$5,참조!$C$5,IF($E170=참조!$B$6,참조!$C$6,IF($E170=참조!$B$7,참조!$C$7,IF($E170=참조!$B$8,참조!$C$8,"")))))))</f>
        <v>土</v>
      </c>
      <c r="G170" s="4" t="str">
        <f>IF($F170=참조!$C$2,참조!$D$2,IF($F170=참조!$C$8,참조!$D$2,IF(COUNTIF('2026년휴일'!$B:$B,$B170)&gt;0,참조!$D$2,참조!$D$3)))</f>
        <v>休</v>
      </c>
      <c r="H170" s="31">
        <f>IF($G170=참조!$D$3,참조!$E$3,참조!$E$2)</f>
        <v>5000</v>
      </c>
      <c r="I170" s="31">
        <f>SUMIFS(지출기록_6월!$H$3:$H$312,지출기록_6월!$E$3:$E$312,B170,지출기록_6월!$F$3:$F$312,참조!$F$2)</f>
        <v>0</v>
      </c>
      <c r="J170" s="31">
        <f>SUMIFS(지출기록_6월!$H$3:$H$312,지출기록_6월!$E$3:$E$312,B170,지출기록_6월!$F$3:$F$312,참조!$F$3)</f>
        <v>0</v>
      </c>
      <c r="K170" s="31">
        <f t="shared" si="23"/>
        <v>0</v>
      </c>
      <c r="L170" s="31">
        <f t="shared" ca="1" si="21"/>
        <v>5000</v>
      </c>
      <c r="M170" s="31">
        <f t="shared" si="22"/>
        <v>5000</v>
      </c>
    </row>
    <row r="171" spans="2:13" x14ac:dyDescent="0.3">
      <c r="B171" s="5">
        <f t="shared" si="20"/>
        <v>46187</v>
      </c>
      <c r="C171" s="3">
        <v>6</v>
      </c>
      <c r="D171" s="3">
        <v>14</v>
      </c>
      <c r="E171" s="3">
        <f t="shared" si="19"/>
        <v>1</v>
      </c>
      <c r="F171" s="4" t="str">
        <f>IF($E171=참조!$B$2,참조!$C$2,IF($E171=참조!$B$3,참조!$C$3,IF($E171=참조!$B$4,참조!$C$4,IF($E171=참조!$B$5,참조!$C$5,IF($E171=참조!$B$6,참조!$C$6,IF($E171=참조!$B$7,참조!$C$7,IF($E171=참조!$B$8,참조!$C$8,"")))))))</f>
        <v>日</v>
      </c>
      <c r="G171" s="4" t="str">
        <f>IF($F171=참조!$C$2,참조!$D$2,IF($F171=참조!$C$8,참조!$D$2,IF(COUNTIF('2026년휴일'!$B:$B,$B171)&gt;0,참조!$D$2,참조!$D$3)))</f>
        <v>休</v>
      </c>
      <c r="H171" s="31">
        <f>IF($G171=참조!$D$3,참조!$E$3,참조!$E$2)</f>
        <v>5000</v>
      </c>
      <c r="I171" s="31">
        <f>SUMIFS(지출기록_6월!$H$3:$H$312,지출기록_6월!$E$3:$E$312,B171,지출기록_6월!$F$3:$F$312,참조!$F$2)</f>
        <v>0</v>
      </c>
      <c r="J171" s="31">
        <f>SUMIFS(지출기록_6월!$H$3:$H$312,지출기록_6월!$E$3:$E$312,B171,지출기록_6월!$F$3:$F$312,참조!$F$3)</f>
        <v>0</v>
      </c>
      <c r="K171" s="31">
        <f t="shared" si="23"/>
        <v>0</v>
      </c>
      <c r="L171" s="31">
        <f t="shared" ca="1" si="21"/>
        <v>5000</v>
      </c>
      <c r="M171" s="31">
        <f t="shared" si="22"/>
        <v>5000</v>
      </c>
    </row>
    <row r="172" spans="2:13" x14ac:dyDescent="0.3">
      <c r="B172" s="5">
        <f t="shared" si="20"/>
        <v>46188</v>
      </c>
      <c r="C172" s="3">
        <v>6</v>
      </c>
      <c r="D172" s="3">
        <v>15</v>
      </c>
      <c r="E172" s="3">
        <f t="shared" si="19"/>
        <v>2</v>
      </c>
      <c r="F172" s="4" t="str">
        <f>IF($E172=참조!$B$2,참조!$C$2,IF($E172=참조!$B$3,참조!$C$3,IF($E172=참조!$B$4,참조!$C$4,IF($E172=참조!$B$5,참조!$C$5,IF($E172=참조!$B$6,참조!$C$6,IF($E172=참조!$B$7,참조!$C$7,IF($E172=참조!$B$8,참조!$C$8,"")))))))</f>
        <v>月</v>
      </c>
      <c r="G172" s="4" t="str">
        <f>IF($F172=참조!$C$2,참조!$D$2,IF($F172=참조!$C$8,참조!$D$2,IF(COUNTIF('2026년휴일'!$B:$B,$B172)&gt;0,참조!$D$2,참조!$D$3)))</f>
        <v>勤</v>
      </c>
      <c r="H172" s="31">
        <f>IF($G172=참조!$D$3,참조!$E$3,참조!$E$2)</f>
        <v>1000</v>
      </c>
      <c r="I172" s="31">
        <f>SUMIFS(지출기록_6월!$H$3:$H$312,지출기록_6월!$E$3:$E$312,B172,지출기록_6월!$F$3:$F$312,참조!$F$2)</f>
        <v>0</v>
      </c>
      <c r="J172" s="31">
        <f>SUMIFS(지출기록_6월!$H$3:$H$312,지출기록_6월!$E$3:$E$312,B172,지출기록_6월!$F$3:$F$312,참조!$F$3)</f>
        <v>0</v>
      </c>
      <c r="K172" s="31">
        <f t="shared" si="23"/>
        <v>0</v>
      </c>
      <c r="L172" s="31">
        <f t="shared" ca="1" si="21"/>
        <v>1000</v>
      </c>
      <c r="M172" s="31">
        <f t="shared" si="22"/>
        <v>1000</v>
      </c>
    </row>
    <row r="173" spans="2:13" x14ac:dyDescent="0.3">
      <c r="B173" s="5">
        <f t="shared" si="20"/>
        <v>46189</v>
      </c>
      <c r="C173" s="3">
        <v>6</v>
      </c>
      <c r="D173" s="3">
        <v>16</v>
      </c>
      <c r="E173" s="3">
        <f t="shared" si="19"/>
        <v>3</v>
      </c>
      <c r="F173" s="4" t="str">
        <f>IF($E173=참조!$B$2,참조!$C$2,IF($E173=참조!$B$3,참조!$C$3,IF($E173=참조!$B$4,참조!$C$4,IF($E173=참조!$B$5,참조!$C$5,IF($E173=참조!$B$6,참조!$C$6,IF($E173=참조!$B$7,참조!$C$7,IF($E173=참조!$B$8,참조!$C$8,"")))))))</f>
        <v>火</v>
      </c>
      <c r="G173" s="4" t="str">
        <f>IF($F173=참조!$C$2,참조!$D$2,IF($F173=참조!$C$8,참조!$D$2,IF(COUNTIF('2026년휴일'!$B:$B,$B173)&gt;0,참조!$D$2,참조!$D$3)))</f>
        <v>勤</v>
      </c>
      <c r="H173" s="31">
        <f>IF($G173=참조!$D$3,참조!$E$3,참조!$E$2)</f>
        <v>1000</v>
      </c>
      <c r="I173" s="31">
        <f>SUMIFS(지출기록_6월!$H$3:$H$312,지출기록_6월!$E$3:$E$312,B173,지출기록_6월!$F$3:$F$312,참조!$F$2)</f>
        <v>0</v>
      </c>
      <c r="J173" s="31">
        <f>SUMIFS(지출기록_6월!$H$3:$H$312,지출기록_6월!$E$3:$E$312,B173,지출기록_6월!$F$3:$F$312,참조!$F$3)</f>
        <v>0</v>
      </c>
      <c r="K173" s="31">
        <f t="shared" si="23"/>
        <v>0</v>
      </c>
      <c r="L173" s="31">
        <f t="shared" ca="1" si="21"/>
        <v>1000</v>
      </c>
      <c r="M173" s="31">
        <f t="shared" si="22"/>
        <v>1000</v>
      </c>
    </row>
    <row r="174" spans="2:13" x14ac:dyDescent="0.3">
      <c r="B174" s="5">
        <f t="shared" si="20"/>
        <v>46190</v>
      </c>
      <c r="C174" s="3">
        <v>6</v>
      </c>
      <c r="D174" s="3">
        <v>17</v>
      </c>
      <c r="E174" s="3">
        <f t="shared" si="19"/>
        <v>4</v>
      </c>
      <c r="F174" s="4" t="str">
        <f>IF($E174=참조!$B$2,참조!$C$2,IF($E174=참조!$B$3,참조!$C$3,IF($E174=참조!$B$4,참조!$C$4,IF($E174=참조!$B$5,참조!$C$5,IF($E174=참조!$B$6,참조!$C$6,IF($E174=참조!$B$7,참조!$C$7,IF($E174=참조!$B$8,참조!$C$8,"")))))))</f>
        <v>水</v>
      </c>
      <c r="G174" s="4" t="str">
        <f>IF($F174=참조!$C$2,참조!$D$2,IF($F174=참조!$C$8,참조!$D$2,IF(COUNTIF('2026년휴일'!$B:$B,$B174)&gt;0,참조!$D$2,참조!$D$3)))</f>
        <v>勤</v>
      </c>
      <c r="H174" s="31">
        <f>IF($G174=참조!$D$3,참조!$E$3,참조!$E$2)</f>
        <v>1000</v>
      </c>
      <c r="I174" s="31">
        <f>SUMIFS(지출기록_6월!$H$3:$H$312,지출기록_6월!$E$3:$E$312,B174,지출기록_6월!$F$3:$F$312,참조!$F$2)</f>
        <v>0</v>
      </c>
      <c r="J174" s="31">
        <f>SUMIFS(지출기록_6월!$H$3:$H$312,지출기록_6월!$E$3:$E$312,B174,지출기록_6월!$F$3:$F$312,참조!$F$3)</f>
        <v>0</v>
      </c>
      <c r="K174" s="31">
        <f t="shared" si="23"/>
        <v>0</v>
      </c>
      <c r="L174" s="31">
        <f t="shared" ca="1" si="21"/>
        <v>1000</v>
      </c>
      <c r="M174" s="31">
        <f t="shared" si="22"/>
        <v>1000</v>
      </c>
    </row>
    <row r="175" spans="2:13" x14ac:dyDescent="0.3">
      <c r="B175" s="5">
        <f t="shared" si="20"/>
        <v>46191</v>
      </c>
      <c r="C175" s="3">
        <v>6</v>
      </c>
      <c r="D175" s="3">
        <v>18</v>
      </c>
      <c r="E175" s="3">
        <f t="shared" si="19"/>
        <v>5</v>
      </c>
      <c r="F175" s="4" t="str">
        <f>IF($E175=참조!$B$2,참조!$C$2,IF($E175=참조!$B$3,참조!$C$3,IF($E175=참조!$B$4,참조!$C$4,IF($E175=참조!$B$5,참조!$C$5,IF($E175=참조!$B$6,참조!$C$6,IF($E175=참조!$B$7,참조!$C$7,IF($E175=참조!$B$8,참조!$C$8,"")))))))</f>
        <v>木</v>
      </c>
      <c r="G175" s="4" t="str">
        <f>IF($F175=참조!$C$2,참조!$D$2,IF($F175=참조!$C$8,참조!$D$2,IF(COUNTIF('2026년휴일'!$B:$B,$B175)&gt;0,참조!$D$2,참조!$D$3)))</f>
        <v>勤</v>
      </c>
      <c r="H175" s="31">
        <f>IF($G175=참조!$D$3,참조!$E$3,참조!$E$2)</f>
        <v>1000</v>
      </c>
      <c r="I175" s="31">
        <f>SUMIFS(지출기록_6월!$H$3:$H$312,지출기록_6월!$E$3:$E$312,B175,지출기록_6월!$F$3:$F$312,참조!$F$2)</f>
        <v>0</v>
      </c>
      <c r="J175" s="31">
        <f>SUMIFS(지출기록_6월!$H$3:$H$312,지출기록_6월!$E$3:$E$312,B175,지출기록_6월!$F$3:$F$312,참조!$F$3)</f>
        <v>0</v>
      </c>
      <c r="K175" s="31">
        <f t="shared" si="23"/>
        <v>0</v>
      </c>
      <c r="L175" s="31">
        <f t="shared" ca="1" si="21"/>
        <v>1000</v>
      </c>
      <c r="M175" s="31">
        <f t="shared" si="22"/>
        <v>1000</v>
      </c>
    </row>
    <row r="176" spans="2:13" x14ac:dyDescent="0.3">
      <c r="B176" s="5">
        <f t="shared" si="20"/>
        <v>46192</v>
      </c>
      <c r="C176" s="3">
        <v>6</v>
      </c>
      <c r="D176" s="3">
        <v>19</v>
      </c>
      <c r="E176" s="3">
        <f t="shared" si="19"/>
        <v>6</v>
      </c>
      <c r="F176" s="4" t="str">
        <f>IF($E176=참조!$B$2,참조!$C$2,IF($E176=참조!$B$3,참조!$C$3,IF($E176=참조!$B$4,참조!$C$4,IF($E176=참조!$B$5,참조!$C$5,IF($E176=참조!$B$6,참조!$C$6,IF($E176=참조!$B$7,참조!$C$7,IF($E176=참조!$B$8,참조!$C$8,"")))))))</f>
        <v>金</v>
      </c>
      <c r="G176" s="4" t="str">
        <f>IF($F176=참조!$C$2,참조!$D$2,IF($F176=참조!$C$8,참조!$D$2,IF(COUNTIF('2026년휴일'!$B:$B,$B176)&gt;0,참조!$D$2,참조!$D$3)))</f>
        <v>勤</v>
      </c>
      <c r="H176" s="31">
        <f>IF($G176=참조!$D$3,참조!$E$3,참조!$E$2)</f>
        <v>1000</v>
      </c>
      <c r="I176" s="31">
        <f>SUMIFS(지출기록_6월!$H$3:$H$312,지출기록_6월!$E$3:$E$312,B176,지출기록_6월!$F$3:$F$312,참조!$F$2)</f>
        <v>0</v>
      </c>
      <c r="J176" s="31">
        <f>SUMIFS(지출기록_6월!$H$3:$H$312,지출기록_6월!$E$3:$E$312,B176,지출기록_6월!$F$3:$F$312,참조!$F$3)</f>
        <v>0</v>
      </c>
      <c r="K176" s="31">
        <f t="shared" si="23"/>
        <v>0</v>
      </c>
      <c r="L176" s="31">
        <f t="shared" ca="1" si="21"/>
        <v>1000</v>
      </c>
      <c r="M176" s="31">
        <f t="shared" si="22"/>
        <v>1000</v>
      </c>
    </row>
    <row r="177" spans="2:13" x14ac:dyDescent="0.3">
      <c r="B177" s="5">
        <f t="shared" si="20"/>
        <v>46193</v>
      </c>
      <c r="C177" s="3">
        <v>6</v>
      </c>
      <c r="D177" s="3">
        <v>20</v>
      </c>
      <c r="E177" s="3">
        <f t="shared" si="19"/>
        <v>7</v>
      </c>
      <c r="F177" s="4" t="str">
        <f>IF($E177=참조!$B$2,참조!$C$2,IF($E177=참조!$B$3,참조!$C$3,IF($E177=참조!$B$4,참조!$C$4,IF($E177=참조!$B$5,참조!$C$5,IF($E177=참조!$B$6,참조!$C$6,IF($E177=참조!$B$7,참조!$C$7,IF($E177=참조!$B$8,참조!$C$8,"")))))))</f>
        <v>土</v>
      </c>
      <c r="G177" s="4" t="str">
        <f>IF($F177=참조!$C$2,참조!$D$2,IF($F177=참조!$C$8,참조!$D$2,IF(COUNTIF('2026년휴일'!$B:$B,$B177)&gt;0,참조!$D$2,참조!$D$3)))</f>
        <v>休</v>
      </c>
      <c r="H177" s="31">
        <f>IF($G177=참조!$D$3,참조!$E$3,참조!$E$2)</f>
        <v>5000</v>
      </c>
      <c r="I177" s="31">
        <f>SUMIFS(지출기록_6월!$H$3:$H$312,지출기록_6월!$E$3:$E$312,B177,지출기록_6월!$F$3:$F$312,참조!$F$2)</f>
        <v>0</v>
      </c>
      <c r="J177" s="31">
        <f>SUMIFS(지출기록_6월!$H$3:$H$312,지출기록_6월!$E$3:$E$312,B177,지출기록_6월!$F$3:$F$312,참조!$F$3)</f>
        <v>0</v>
      </c>
      <c r="K177" s="31">
        <f t="shared" si="23"/>
        <v>0</v>
      </c>
      <c r="L177" s="31">
        <f t="shared" ca="1" si="21"/>
        <v>5000</v>
      </c>
      <c r="M177" s="31">
        <f t="shared" si="22"/>
        <v>5000</v>
      </c>
    </row>
    <row r="178" spans="2:13" x14ac:dyDescent="0.3">
      <c r="B178" s="5">
        <f t="shared" si="20"/>
        <v>46194</v>
      </c>
      <c r="C178" s="3">
        <v>6</v>
      </c>
      <c r="D178" s="3">
        <v>21</v>
      </c>
      <c r="E178" s="3">
        <f t="shared" si="19"/>
        <v>1</v>
      </c>
      <c r="F178" s="4" t="str">
        <f>IF($E178=참조!$B$2,참조!$C$2,IF($E178=참조!$B$3,참조!$C$3,IF($E178=참조!$B$4,참조!$C$4,IF($E178=참조!$B$5,참조!$C$5,IF($E178=참조!$B$6,참조!$C$6,IF($E178=참조!$B$7,참조!$C$7,IF($E178=참조!$B$8,참조!$C$8,"")))))))</f>
        <v>日</v>
      </c>
      <c r="G178" s="4" t="str">
        <f>IF($F178=참조!$C$2,참조!$D$2,IF($F178=참조!$C$8,참조!$D$2,IF(COUNTIF('2026년휴일'!$B:$B,$B178)&gt;0,참조!$D$2,참조!$D$3)))</f>
        <v>休</v>
      </c>
      <c r="H178" s="31">
        <f>IF($G178=참조!$D$3,참조!$E$3,참조!$E$2)</f>
        <v>5000</v>
      </c>
      <c r="I178" s="31">
        <f>SUMIFS(지출기록_6월!$H$3:$H$312,지출기록_6월!$E$3:$E$312,B178,지출기록_6월!$F$3:$F$312,참조!$F$2)</f>
        <v>0</v>
      </c>
      <c r="J178" s="31">
        <f>SUMIFS(지출기록_6월!$H$3:$H$312,지출기록_6월!$E$3:$E$312,B178,지출기록_6월!$F$3:$F$312,참조!$F$3)</f>
        <v>0</v>
      </c>
      <c r="K178" s="31">
        <f t="shared" si="23"/>
        <v>0</v>
      </c>
      <c r="L178" s="31">
        <f t="shared" ca="1" si="21"/>
        <v>5000</v>
      </c>
      <c r="M178" s="31">
        <f t="shared" si="22"/>
        <v>5000</v>
      </c>
    </row>
    <row r="179" spans="2:13" x14ac:dyDescent="0.3">
      <c r="B179" s="5">
        <f t="shared" si="20"/>
        <v>46195</v>
      </c>
      <c r="C179" s="3">
        <v>6</v>
      </c>
      <c r="D179" s="3">
        <v>22</v>
      </c>
      <c r="E179" s="3">
        <f t="shared" si="19"/>
        <v>2</v>
      </c>
      <c r="F179" s="4" t="str">
        <f>IF($E179=참조!$B$2,참조!$C$2,IF($E179=참조!$B$3,참조!$C$3,IF($E179=참조!$B$4,참조!$C$4,IF($E179=참조!$B$5,참조!$C$5,IF($E179=참조!$B$6,참조!$C$6,IF($E179=참조!$B$7,참조!$C$7,IF($E179=참조!$B$8,참조!$C$8,"")))))))</f>
        <v>月</v>
      </c>
      <c r="G179" s="4" t="str">
        <f>IF($F179=참조!$C$2,참조!$D$2,IF($F179=참조!$C$8,참조!$D$2,IF(COUNTIF('2026년휴일'!$B:$B,$B179)&gt;0,참조!$D$2,참조!$D$3)))</f>
        <v>勤</v>
      </c>
      <c r="H179" s="31">
        <f>IF($G179=참조!$D$3,참조!$E$3,참조!$E$2)</f>
        <v>1000</v>
      </c>
      <c r="I179" s="31">
        <f>SUMIFS(지출기록_6월!$H$3:$H$312,지출기록_6월!$E$3:$E$312,B179,지출기록_6월!$F$3:$F$312,참조!$F$2)</f>
        <v>0</v>
      </c>
      <c r="J179" s="31">
        <f>SUMIFS(지출기록_6월!$H$3:$H$312,지출기록_6월!$E$3:$E$312,B179,지출기록_6월!$F$3:$F$312,참조!$F$3)</f>
        <v>0</v>
      </c>
      <c r="K179" s="31">
        <f t="shared" si="23"/>
        <v>0</v>
      </c>
      <c r="L179" s="31">
        <f t="shared" ca="1" si="21"/>
        <v>1000</v>
      </c>
      <c r="M179" s="31">
        <f t="shared" si="22"/>
        <v>1000</v>
      </c>
    </row>
    <row r="180" spans="2:13" x14ac:dyDescent="0.3">
      <c r="B180" s="5">
        <f t="shared" si="20"/>
        <v>46196</v>
      </c>
      <c r="C180" s="3">
        <v>6</v>
      </c>
      <c r="D180" s="3">
        <v>23</v>
      </c>
      <c r="E180" s="3">
        <f t="shared" si="19"/>
        <v>3</v>
      </c>
      <c r="F180" s="4" t="str">
        <f>IF($E180=참조!$B$2,참조!$C$2,IF($E180=참조!$B$3,참조!$C$3,IF($E180=참조!$B$4,참조!$C$4,IF($E180=참조!$B$5,참조!$C$5,IF($E180=참조!$B$6,참조!$C$6,IF($E180=참조!$B$7,참조!$C$7,IF($E180=참조!$B$8,참조!$C$8,"")))))))</f>
        <v>火</v>
      </c>
      <c r="G180" s="4" t="str">
        <f>IF($F180=참조!$C$2,참조!$D$2,IF($F180=참조!$C$8,참조!$D$2,IF(COUNTIF('2026년휴일'!$B:$B,$B180)&gt;0,참조!$D$2,참조!$D$3)))</f>
        <v>勤</v>
      </c>
      <c r="H180" s="31">
        <f>IF($G180=참조!$D$3,참조!$E$3,참조!$E$2)</f>
        <v>1000</v>
      </c>
      <c r="I180" s="31">
        <f>SUMIFS(지출기록_6월!$H$3:$H$312,지출기록_6월!$E$3:$E$312,B180,지출기록_6월!$F$3:$F$312,참조!$F$2)</f>
        <v>0</v>
      </c>
      <c r="J180" s="31">
        <f>SUMIFS(지출기록_6월!$H$3:$H$312,지출기록_6월!$E$3:$E$312,B180,지출기록_6월!$F$3:$F$312,참조!$F$3)</f>
        <v>0</v>
      </c>
      <c r="K180" s="31">
        <f t="shared" si="23"/>
        <v>0</v>
      </c>
      <c r="L180" s="31">
        <f t="shared" ca="1" si="21"/>
        <v>1000</v>
      </c>
      <c r="M180" s="31">
        <f t="shared" si="22"/>
        <v>1000</v>
      </c>
    </row>
    <row r="181" spans="2:13" x14ac:dyDescent="0.3">
      <c r="B181" s="5">
        <f t="shared" si="20"/>
        <v>46197</v>
      </c>
      <c r="C181" s="3">
        <v>6</v>
      </c>
      <c r="D181" s="3">
        <v>24</v>
      </c>
      <c r="E181" s="3">
        <f t="shared" si="19"/>
        <v>4</v>
      </c>
      <c r="F181" s="4" t="str">
        <f>IF($E181=참조!$B$2,참조!$C$2,IF($E181=참조!$B$3,참조!$C$3,IF($E181=참조!$B$4,참조!$C$4,IF($E181=참조!$B$5,참조!$C$5,IF($E181=참조!$B$6,참조!$C$6,IF($E181=참조!$B$7,참조!$C$7,IF($E181=참조!$B$8,참조!$C$8,"")))))))</f>
        <v>水</v>
      </c>
      <c r="G181" s="4" t="str">
        <f>IF($F181=참조!$C$2,참조!$D$2,IF($F181=참조!$C$8,참조!$D$2,IF(COUNTIF('2026년휴일'!$B:$B,$B181)&gt;0,참조!$D$2,참조!$D$3)))</f>
        <v>勤</v>
      </c>
      <c r="H181" s="31">
        <f>IF($G181=참조!$D$3,참조!$E$3,참조!$E$2)</f>
        <v>1000</v>
      </c>
      <c r="I181" s="31">
        <f>SUMIFS(지출기록_6월!$H$3:$H$312,지출기록_6월!$E$3:$E$312,B181,지출기록_6월!$F$3:$F$312,참조!$F$2)</f>
        <v>0</v>
      </c>
      <c r="J181" s="31">
        <f>SUMIFS(지출기록_6월!$H$3:$H$312,지출기록_6월!$E$3:$E$312,B181,지출기록_6월!$F$3:$F$312,참조!$F$3)</f>
        <v>0</v>
      </c>
      <c r="K181" s="31">
        <f t="shared" si="23"/>
        <v>0</v>
      </c>
      <c r="L181" s="31">
        <f t="shared" ca="1" si="21"/>
        <v>1000</v>
      </c>
      <c r="M181" s="31">
        <f t="shared" si="22"/>
        <v>1000</v>
      </c>
    </row>
    <row r="182" spans="2:13" x14ac:dyDescent="0.3">
      <c r="B182" s="5">
        <f t="shared" si="20"/>
        <v>46198</v>
      </c>
      <c r="C182" s="3">
        <v>6</v>
      </c>
      <c r="D182" s="3">
        <v>25</v>
      </c>
      <c r="E182" s="3">
        <f t="shared" si="19"/>
        <v>5</v>
      </c>
      <c r="F182" s="4" t="str">
        <f>IF($E182=참조!$B$2,참조!$C$2,IF($E182=참조!$B$3,참조!$C$3,IF($E182=참조!$B$4,참조!$C$4,IF($E182=참조!$B$5,참조!$C$5,IF($E182=참조!$B$6,참조!$C$6,IF($E182=참조!$B$7,참조!$C$7,IF($E182=참조!$B$8,참조!$C$8,"")))))))</f>
        <v>木</v>
      </c>
      <c r="G182" s="4" t="str">
        <f>IF($F182=참조!$C$2,참조!$D$2,IF($F182=참조!$C$8,참조!$D$2,IF(COUNTIF('2026년휴일'!$B:$B,$B182)&gt;0,참조!$D$2,참조!$D$3)))</f>
        <v>勤</v>
      </c>
      <c r="H182" s="31">
        <f>IF($G182=참조!$D$3,참조!$E$3,참조!$E$2)</f>
        <v>1000</v>
      </c>
      <c r="I182" s="31">
        <f>SUMIFS(지출기록_6월!$H$3:$H$312,지출기록_6월!$E$3:$E$312,B182,지출기록_6월!$F$3:$F$312,참조!$F$2)</f>
        <v>0</v>
      </c>
      <c r="J182" s="31">
        <f>SUMIFS(지출기록_6월!$H$3:$H$312,지출기록_6월!$E$3:$E$312,B182,지출기록_6월!$F$3:$F$312,참조!$F$3)</f>
        <v>0</v>
      </c>
      <c r="K182" s="31">
        <f t="shared" si="23"/>
        <v>0</v>
      </c>
      <c r="L182" s="31">
        <f t="shared" ca="1" si="21"/>
        <v>1000</v>
      </c>
      <c r="M182" s="31">
        <f t="shared" si="22"/>
        <v>1000</v>
      </c>
    </row>
    <row r="183" spans="2:13" x14ac:dyDescent="0.3">
      <c r="B183" s="5">
        <f t="shared" si="20"/>
        <v>46199</v>
      </c>
      <c r="C183" s="3">
        <v>6</v>
      </c>
      <c r="D183" s="3">
        <v>26</v>
      </c>
      <c r="E183" s="3">
        <f t="shared" si="19"/>
        <v>6</v>
      </c>
      <c r="F183" s="4" t="str">
        <f>IF($E183=참조!$B$2,참조!$C$2,IF($E183=참조!$B$3,참조!$C$3,IF($E183=참조!$B$4,참조!$C$4,IF($E183=참조!$B$5,참조!$C$5,IF($E183=참조!$B$6,참조!$C$6,IF($E183=참조!$B$7,참조!$C$7,IF($E183=참조!$B$8,참조!$C$8,"")))))))</f>
        <v>金</v>
      </c>
      <c r="G183" s="4" t="str">
        <f>IF($F183=참조!$C$2,참조!$D$2,IF($F183=참조!$C$8,참조!$D$2,IF(COUNTIF('2026년휴일'!$B:$B,$B183)&gt;0,참조!$D$2,참조!$D$3)))</f>
        <v>勤</v>
      </c>
      <c r="H183" s="31">
        <f>IF($G183=참조!$D$3,참조!$E$3,참조!$E$2)</f>
        <v>1000</v>
      </c>
      <c r="I183" s="31">
        <f>SUMIFS(지출기록_6월!$H$3:$H$312,지출기록_6월!$E$3:$E$312,B183,지출기록_6월!$F$3:$F$312,참조!$F$2)</f>
        <v>0</v>
      </c>
      <c r="J183" s="31">
        <f>SUMIFS(지출기록_6월!$H$3:$H$312,지출기록_6월!$E$3:$E$312,B183,지출기록_6월!$F$3:$F$312,참조!$F$3)</f>
        <v>0</v>
      </c>
      <c r="K183" s="31">
        <f t="shared" si="23"/>
        <v>0</v>
      </c>
      <c r="L183" s="31">
        <f t="shared" ca="1" si="21"/>
        <v>1000</v>
      </c>
      <c r="M183" s="31">
        <f t="shared" si="22"/>
        <v>1000</v>
      </c>
    </row>
    <row r="184" spans="2:13" x14ac:dyDescent="0.3">
      <c r="B184" s="5">
        <f t="shared" si="20"/>
        <v>46200</v>
      </c>
      <c r="C184" s="3">
        <v>6</v>
      </c>
      <c r="D184" s="3">
        <v>27</v>
      </c>
      <c r="E184" s="3">
        <f t="shared" si="19"/>
        <v>7</v>
      </c>
      <c r="F184" s="4" t="str">
        <f>IF($E184=참조!$B$2,참조!$C$2,IF($E184=참조!$B$3,참조!$C$3,IF($E184=참조!$B$4,참조!$C$4,IF($E184=참조!$B$5,참조!$C$5,IF($E184=참조!$B$6,참조!$C$6,IF($E184=참조!$B$7,참조!$C$7,IF($E184=참조!$B$8,참조!$C$8,"")))))))</f>
        <v>土</v>
      </c>
      <c r="G184" s="4" t="str">
        <f>IF($F184=참조!$C$2,참조!$D$2,IF($F184=참조!$C$8,참조!$D$2,IF(COUNTIF('2026년휴일'!$B:$B,$B184)&gt;0,참조!$D$2,참조!$D$3)))</f>
        <v>休</v>
      </c>
      <c r="H184" s="31">
        <f>IF($G184=참조!$D$3,참조!$E$3,참조!$E$2)</f>
        <v>5000</v>
      </c>
      <c r="I184" s="31">
        <f>SUMIFS(지출기록_6월!$H$3:$H$312,지출기록_6월!$E$3:$E$312,B184,지출기록_6월!$F$3:$F$312,참조!$F$2)</f>
        <v>0</v>
      </c>
      <c r="J184" s="31">
        <f>SUMIFS(지출기록_6월!$H$3:$H$312,지출기록_6월!$E$3:$E$312,B184,지출기록_6월!$F$3:$F$312,참조!$F$3)</f>
        <v>0</v>
      </c>
      <c r="K184" s="31">
        <f t="shared" si="23"/>
        <v>0</v>
      </c>
      <c r="L184" s="31">
        <f t="shared" ca="1" si="21"/>
        <v>5000</v>
      </c>
      <c r="M184" s="31">
        <f t="shared" si="22"/>
        <v>5000</v>
      </c>
    </row>
    <row r="185" spans="2:13" x14ac:dyDescent="0.3">
      <c r="B185" s="5">
        <f t="shared" si="20"/>
        <v>46201</v>
      </c>
      <c r="C185" s="3">
        <v>6</v>
      </c>
      <c r="D185" s="3">
        <v>28</v>
      </c>
      <c r="E185" s="3">
        <f t="shared" si="19"/>
        <v>1</v>
      </c>
      <c r="F185" s="4" t="str">
        <f>IF($E185=참조!$B$2,참조!$C$2,IF($E185=참조!$B$3,참조!$C$3,IF($E185=참조!$B$4,참조!$C$4,IF($E185=참조!$B$5,참조!$C$5,IF($E185=참조!$B$6,참조!$C$6,IF($E185=참조!$B$7,참조!$C$7,IF($E185=참조!$B$8,참조!$C$8,"")))))))</f>
        <v>日</v>
      </c>
      <c r="G185" s="4" t="str">
        <f>IF($F185=참조!$C$2,참조!$D$2,IF($F185=참조!$C$8,참조!$D$2,IF(COUNTIF('2026년휴일'!$B:$B,$B185)&gt;0,참조!$D$2,참조!$D$3)))</f>
        <v>休</v>
      </c>
      <c r="H185" s="31">
        <f>IF($G185=참조!$D$3,참조!$E$3,참조!$E$2)</f>
        <v>5000</v>
      </c>
      <c r="I185" s="31">
        <f>SUMIFS(지출기록_6월!$H$3:$H$312,지출기록_6월!$E$3:$E$312,B185,지출기록_6월!$F$3:$F$312,참조!$F$2)</f>
        <v>0</v>
      </c>
      <c r="J185" s="31">
        <f>SUMIFS(지출기록_6월!$H$3:$H$312,지출기록_6월!$E$3:$E$312,B185,지출기록_6월!$F$3:$F$312,참조!$F$3)</f>
        <v>0</v>
      </c>
      <c r="K185" s="31">
        <f t="shared" si="23"/>
        <v>0</v>
      </c>
      <c r="L185" s="31">
        <f t="shared" ca="1" si="21"/>
        <v>5000</v>
      </c>
      <c r="M185" s="31">
        <f t="shared" si="22"/>
        <v>5000</v>
      </c>
    </row>
    <row r="186" spans="2:13" x14ac:dyDescent="0.3">
      <c r="B186" s="5">
        <f t="shared" si="20"/>
        <v>46202</v>
      </c>
      <c r="C186" s="3">
        <v>6</v>
      </c>
      <c r="D186" s="3">
        <v>29</v>
      </c>
      <c r="E186" s="3">
        <f t="shared" si="19"/>
        <v>2</v>
      </c>
      <c r="F186" s="4" t="str">
        <f>IF($E186=참조!$B$2,참조!$C$2,IF($E186=참조!$B$3,참조!$C$3,IF($E186=참조!$B$4,참조!$C$4,IF($E186=참조!$B$5,참조!$C$5,IF($E186=참조!$B$6,참조!$C$6,IF($E186=참조!$B$7,참조!$C$7,IF($E186=참조!$B$8,참조!$C$8,"")))))))</f>
        <v>月</v>
      </c>
      <c r="G186" s="4" t="str">
        <f>IF($F186=참조!$C$2,참조!$D$2,IF($F186=참조!$C$8,참조!$D$2,IF(COUNTIF('2026년휴일'!$B:$B,$B186)&gt;0,참조!$D$2,참조!$D$3)))</f>
        <v>勤</v>
      </c>
      <c r="H186" s="31">
        <f>IF($G186=참조!$D$3,참조!$E$3,참조!$E$2)</f>
        <v>1000</v>
      </c>
      <c r="I186" s="31">
        <f>SUMIFS(지출기록_6월!$H$3:$H$312,지출기록_6월!$E$3:$E$312,B186,지출기록_6월!$F$3:$F$312,참조!$F$2)</f>
        <v>0</v>
      </c>
      <c r="J186" s="31">
        <f>SUMIFS(지출기록_6월!$H$3:$H$312,지출기록_6월!$E$3:$E$312,B186,지출기록_6월!$F$3:$F$312,참조!$F$3)</f>
        <v>0</v>
      </c>
      <c r="K186" s="31">
        <f t="shared" si="23"/>
        <v>0</v>
      </c>
      <c r="L186" s="31">
        <f t="shared" ca="1" si="21"/>
        <v>1000</v>
      </c>
      <c r="M186" s="31">
        <f t="shared" si="22"/>
        <v>1000</v>
      </c>
    </row>
    <row r="187" spans="2:13" x14ac:dyDescent="0.3">
      <c r="B187" s="5">
        <f t="shared" si="20"/>
        <v>46203</v>
      </c>
      <c r="C187" s="3">
        <v>6</v>
      </c>
      <c r="D187" s="3">
        <v>30</v>
      </c>
      <c r="E187" s="3">
        <f t="shared" si="19"/>
        <v>3</v>
      </c>
      <c r="F187" s="4" t="str">
        <f>IF($E187=참조!$B$2,참조!$C$2,IF($E187=참조!$B$3,참조!$C$3,IF($E187=참조!$B$4,참조!$C$4,IF($E187=참조!$B$5,참조!$C$5,IF($E187=참조!$B$6,참조!$C$6,IF($E187=참조!$B$7,참조!$C$7,IF($E187=참조!$B$8,참조!$C$8,"")))))))</f>
        <v>火</v>
      </c>
      <c r="G187" s="4" t="str">
        <f>IF($F187=참조!$C$2,참조!$D$2,IF($F187=참조!$C$8,참조!$D$2,IF(COUNTIF('2026년휴일'!$B:$B,$B187)&gt;0,참조!$D$2,참조!$D$3)))</f>
        <v>勤</v>
      </c>
      <c r="H187" s="31">
        <f>IF($G187=참조!$D$3,참조!$E$3,참조!$E$2)</f>
        <v>1000</v>
      </c>
      <c r="I187" s="31">
        <f>SUMIFS(지출기록_6월!$H$3:$H$312,지출기록_6월!$E$3:$E$312,B187,지출기록_6월!$F$3:$F$312,참조!$F$2)</f>
        <v>0</v>
      </c>
      <c r="J187" s="31">
        <f>SUMIFS(지출기록_6월!$H$3:$H$312,지출기록_6월!$E$3:$E$312,B187,지출기록_6월!$F$3:$F$312,참조!$F$3)</f>
        <v>0</v>
      </c>
      <c r="K187" s="31">
        <f t="shared" si="23"/>
        <v>0</v>
      </c>
      <c r="L187" s="31">
        <f t="shared" ca="1" si="21"/>
        <v>1000</v>
      </c>
      <c r="M187" s="31">
        <f t="shared" si="22"/>
        <v>1000</v>
      </c>
    </row>
    <row r="188" spans="2:13" x14ac:dyDescent="0.3">
      <c r="B188" s="5">
        <f t="shared" si="20"/>
        <v>46204</v>
      </c>
      <c r="C188" s="3">
        <v>7</v>
      </c>
      <c r="D188" s="3">
        <v>1</v>
      </c>
      <c r="E188" s="3">
        <f t="shared" si="19"/>
        <v>4</v>
      </c>
      <c r="F188" s="4" t="str">
        <f>IF($E188=참조!$B$2,참조!$C$2,IF($E188=참조!$B$3,참조!$C$3,IF($E188=참조!$B$4,참조!$C$4,IF($E188=참조!$B$5,참조!$C$5,IF($E188=참조!$B$6,참조!$C$6,IF($E188=참조!$B$7,참조!$C$7,IF($E188=참조!$B$8,참조!$C$8,"")))))))</f>
        <v>水</v>
      </c>
      <c r="G188" s="4" t="str">
        <f>IF($F188=참조!$C$2,참조!$D$2,IF($F188=참조!$C$8,참조!$D$2,IF(COUNTIF('2026년휴일'!$B:$B,$B188)&gt;0,참조!$D$2,참조!$D$3)))</f>
        <v>勤</v>
      </c>
      <c r="H188" s="31">
        <f>IF($G188=참조!$D$3,참조!$E$3,참조!$E$2)</f>
        <v>1000</v>
      </c>
      <c r="I188" s="31">
        <f>SUMIFS(지출기록_7월!$H$3:$H$312,지출기록_7월!$E$3:$E$312,B188,지출기록_7월!$F$3:$F$312,참조!$F$2)</f>
        <v>0</v>
      </c>
      <c r="J188" s="31">
        <f>SUMIFS(지출기록_7월!$H$3:$H$312,지출기록_7월!$E$3:$E$312,B188,지출기록_7월!$F$3:$F$312,참조!$F$3)</f>
        <v>0</v>
      </c>
      <c r="K188" s="31">
        <f t="shared" ref="K188" si="24">I188-J188</f>
        <v>0</v>
      </c>
      <c r="L188" s="31">
        <f t="shared" ca="1" si="21"/>
        <v>1000</v>
      </c>
      <c r="M188" s="31">
        <f t="shared" ref="M188:M253" si="25">$H188-$K188</f>
        <v>1000</v>
      </c>
    </row>
    <row r="189" spans="2:13" x14ac:dyDescent="0.3">
      <c r="B189" s="5">
        <f t="shared" si="20"/>
        <v>46205</v>
      </c>
      <c r="C189" s="3">
        <v>7</v>
      </c>
      <c r="D189" s="3">
        <v>2</v>
      </c>
      <c r="E189" s="3">
        <f t="shared" si="19"/>
        <v>5</v>
      </c>
      <c r="F189" s="4" t="str">
        <f>IF($E189=참조!$B$2,참조!$C$2,IF($E189=참조!$B$3,참조!$C$3,IF($E189=참조!$B$4,참조!$C$4,IF($E189=참조!$B$5,참조!$C$5,IF($E189=참조!$B$6,참조!$C$6,IF($E189=참조!$B$7,참조!$C$7,IF($E189=참조!$B$8,참조!$C$8,"")))))))</f>
        <v>木</v>
      </c>
      <c r="G189" s="4" t="str">
        <f>IF($F189=참조!$C$2,참조!$D$2,IF($F189=참조!$C$8,참조!$D$2,IF(COUNTIF('2026년휴일'!$B:$B,$B189)&gt;0,참조!$D$2,참조!$D$3)))</f>
        <v>勤</v>
      </c>
      <c r="H189" s="31">
        <f>IF($G189=참조!$D$3,참조!$E$3,참조!$E$2)</f>
        <v>1000</v>
      </c>
      <c r="I189" s="31">
        <f>SUMIFS(지출기록_7월!$H$3:$H$312,지출기록_7월!$E$3:$E$312,B189,지출기록_7월!$F$3:$F$312,참조!$F$2)</f>
        <v>0</v>
      </c>
      <c r="J189" s="31">
        <f>SUMIFS(지출기록_7월!$H$3:$H$312,지출기록_7월!$E$3:$E$312,B189,지출기록_7월!$F$3:$F$312,참조!$F$3)</f>
        <v>0</v>
      </c>
      <c r="K189" s="31">
        <f t="shared" ref="K189" si="26">I189-J189</f>
        <v>0</v>
      </c>
      <c r="L189" s="31">
        <f t="shared" ca="1" si="21"/>
        <v>1000</v>
      </c>
      <c r="M189" s="31">
        <f t="shared" si="25"/>
        <v>1000</v>
      </c>
    </row>
    <row r="190" spans="2:13" x14ac:dyDescent="0.3">
      <c r="B190" s="5">
        <f t="shared" si="20"/>
        <v>46206</v>
      </c>
      <c r="C190" s="3">
        <v>7</v>
      </c>
      <c r="D190" s="3">
        <v>3</v>
      </c>
      <c r="E190" s="3">
        <f t="shared" si="19"/>
        <v>6</v>
      </c>
      <c r="F190" s="4" t="str">
        <f>IF($E190=참조!$B$2,참조!$C$2,IF($E190=참조!$B$3,참조!$C$3,IF($E190=참조!$B$4,참조!$C$4,IF($E190=참조!$B$5,참조!$C$5,IF($E190=참조!$B$6,참조!$C$6,IF($E190=참조!$B$7,참조!$C$7,IF($E190=참조!$B$8,참조!$C$8,"")))))))</f>
        <v>金</v>
      </c>
      <c r="G190" s="4" t="str">
        <f>IF($F190=참조!$C$2,참조!$D$2,IF($F190=참조!$C$8,참조!$D$2,IF(COUNTIF('2026년휴일'!$B:$B,$B190)&gt;0,참조!$D$2,참조!$D$3)))</f>
        <v>勤</v>
      </c>
      <c r="H190" s="31">
        <f>IF($G190=참조!$D$3,참조!$E$3,참조!$E$2)</f>
        <v>1000</v>
      </c>
      <c r="I190" s="31">
        <f>SUMIFS(지출기록_7월!$H$3:$H$312,지출기록_7월!$E$3:$E$312,B190,지출기록_7월!$F$3:$F$312,참조!$F$2)</f>
        <v>0</v>
      </c>
      <c r="J190" s="31">
        <f>SUMIFS(지출기록_7월!$H$3:$H$312,지출기록_7월!$E$3:$E$312,B190,지출기록_7월!$F$3:$F$312,참조!$F$3)</f>
        <v>0</v>
      </c>
      <c r="K190" s="31">
        <f t="shared" ref="K190" si="27">I190-J190</f>
        <v>0</v>
      </c>
      <c r="L190" s="31">
        <f t="shared" ca="1" si="21"/>
        <v>1000</v>
      </c>
      <c r="M190" s="31">
        <f t="shared" si="25"/>
        <v>1000</v>
      </c>
    </row>
    <row r="191" spans="2:13" x14ac:dyDescent="0.3">
      <c r="B191" s="5">
        <f t="shared" si="20"/>
        <v>46207</v>
      </c>
      <c r="C191" s="3">
        <v>7</v>
      </c>
      <c r="D191" s="3">
        <v>4</v>
      </c>
      <c r="E191" s="3">
        <f t="shared" si="19"/>
        <v>7</v>
      </c>
      <c r="F191" s="4" t="str">
        <f>IF($E191=참조!$B$2,참조!$C$2,IF($E191=참조!$B$3,참조!$C$3,IF($E191=참조!$B$4,참조!$C$4,IF($E191=참조!$B$5,참조!$C$5,IF($E191=참조!$B$6,참조!$C$6,IF($E191=참조!$B$7,참조!$C$7,IF($E191=참조!$B$8,참조!$C$8,"")))))))</f>
        <v>土</v>
      </c>
      <c r="G191" s="4" t="str">
        <f>IF($F191=참조!$C$2,참조!$D$2,IF($F191=참조!$C$8,참조!$D$2,IF(COUNTIF('2026년휴일'!$B:$B,$B191)&gt;0,참조!$D$2,참조!$D$3)))</f>
        <v>休</v>
      </c>
      <c r="H191" s="31">
        <f>IF($G191=참조!$D$3,참조!$E$3,참조!$E$2)</f>
        <v>5000</v>
      </c>
      <c r="I191" s="31">
        <f>SUMIFS(지출기록_7월!$H$3:$H$312,지출기록_7월!$E$3:$E$312,B191,지출기록_7월!$F$3:$F$312,참조!$F$2)</f>
        <v>0</v>
      </c>
      <c r="J191" s="31">
        <f>SUMIFS(지출기록_7월!$H$3:$H$312,지출기록_7월!$E$3:$E$312,B191,지출기록_7월!$F$3:$F$312,참조!$F$3)</f>
        <v>0</v>
      </c>
      <c r="K191" s="31">
        <f t="shared" ref="K191:K193" si="28">I191-J191</f>
        <v>0</v>
      </c>
      <c r="L191" s="31">
        <f t="shared" ca="1" si="21"/>
        <v>5000</v>
      </c>
      <c r="M191" s="31">
        <f t="shared" si="25"/>
        <v>5000</v>
      </c>
    </row>
    <row r="192" spans="2:13" x14ac:dyDescent="0.3">
      <c r="B192" s="5">
        <f t="shared" si="20"/>
        <v>46208</v>
      </c>
      <c r="C192" s="3">
        <v>7</v>
      </c>
      <c r="D192" s="3">
        <v>5</v>
      </c>
      <c r="E192" s="3">
        <f t="shared" si="19"/>
        <v>1</v>
      </c>
      <c r="F192" s="4" t="str">
        <f>IF($E192=참조!$B$2,참조!$C$2,IF($E192=참조!$B$3,참조!$C$3,IF($E192=참조!$B$4,참조!$C$4,IF($E192=참조!$B$5,참조!$C$5,IF($E192=참조!$B$6,참조!$C$6,IF($E192=참조!$B$7,참조!$C$7,IF($E192=참조!$B$8,참조!$C$8,"")))))))</f>
        <v>日</v>
      </c>
      <c r="G192" s="4" t="str">
        <f>IF($F192=참조!$C$2,참조!$D$2,IF($F192=참조!$C$8,참조!$D$2,IF(COUNTIF('2026년휴일'!$B:$B,$B192)&gt;0,참조!$D$2,참조!$D$3)))</f>
        <v>休</v>
      </c>
      <c r="H192" s="31">
        <f>IF($G192=참조!$D$3,참조!$E$3,참조!$E$2)</f>
        <v>5000</v>
      </c>
      <c r="I192" s="31">
        <f>SUMIFS(지출기록_7월!$H$3:$H$312,지출기록_7월!$E$3:$E$312,B192,지출기록_7월!$F$3:$F$312,참조!$F$2)</f>
        <v>0</v>
      </c>
      <c r="J192" s="31">
        <f>SUMIFS(지출기록_7월!$H$3:$H$312,지출기록_7월!$E$3:$E$312,B192,지출기록_7월!$F$3:$F$312,참조!$F$3)</f>
        <v>0</v>
      </c>
      <c r="K192" s="31">
        <f t="shared" si="28"/>
        <v>0</v>
      </c>
      <c r="L192" s="31">
        <f t="shared" ca="1" si="21"/>
        <v>5000</v>
      </c>
      <c r="M192" s="31">
        <f t="shared" si="25"/>
        <v>5000</v>
      </c>
    </row>
    <row r="193" spans="2:13" x14ac:dyDescent="0.3">
      <c r="B193" s="5">
        <f t="shared" si="20"/>
        <v>46209</v>
      </c>
      <c r="C193" s="3">
        <v>7</v>
      </c>
      <c r="D193" s="3">
        <v>6</v>
      </c>
      <c r="E193" s="3">
        <f t="shared" si="19"/>
        <v>2</v>
      </c>
      <c r="F193" s="4" t="str">
        <f>IF($E193=참조!$B$2,참조!$C$2,IF($E193=참조!$B$3,참조!$C$3,IF($E193=참조!$B$4,참조!$C$4,IF($E193=참조!$B$5,참조!$C$5,IF($E193=참조!$B$6,참조!$C$6,IF($E193=참조!$B$7,참조!$C$7,IF($E193=참조!$B$8,참조!$C$8,"")))))))</f>
        <v>月</v>
      </c>
      <c r="G193" s="4" t="str">
        <f>IF($F193=참조!$C$2,참조!$D$2,IF($F193=참조!$C$8,참조!$D$2,IF(COUNTIF('2026년휴일'!$B:$B,$B193)&gt;0,참조!$D$2,참조!$D$3)))</f>
        <v>勤</v>
      </c>
      <c r="H193" s="31">
        <f>IF($G193=참조!$D$3,참조!$E$3,참조!$E$2)</f>
        <v>1000</v>
      </c>
      <c r="I193" s="31">
        <f>SUMIFS(지출기록_7월!$H$3:$H$312,지출기록_7월!$E$3:$E$312,B193,지출기록_7월!$F$3:$F$312,참조!$F$2)</f>
        <v>0</v>
      </c>
      <c r="J193" s="31">
        <f>SUMIFS(지출기록_7월!$H$3:$H$312,지출기록_7월!$E$3:$E$312,B193,지출기록_7월!$F$3:$F$312,참조!$F$3)</f>
        <v>0</v>
      </c>
      <c r="K193" s="31">
        <f t="shared" si="28"/>
        <v>0</v>
      </c>
      <c r="L193" s="31">
        <f t="shared" ca="1" si="21"/>
        <v>1000</v>
      </c>
      <c r="M193" s="31">
        <f t="shared" si="25"/>
        <v>1000</v>
      </c>
    </row>
    <row r="194" spans="2:13" x14ac:dyDescent="0.3">
      <c r="B194" s="5">
        <f t="shared" si="20"/>
        <v>46210</v>
      </c>
      <c r="C194" s="3">
        <v>7</v>
      </c>
      <c r="D194" s="3">
        <v>7</v>
      </c>
      <c r="E194" s="3">
        <f t="shared" si="19"/>
        <v>3</v>
      </c>
      <c r="F194" s="4" t="str">
        <f>IF($E194=참조!$B$2,참조!$C$2,IF($E194=참조!$B$3,참조!$C$3,IF($E194=참조!$B$4,참조!$C$4,IF($E194=참조!$B$5,참조!$C$5,IF($E194=참조!$B$6,참조!$C$6,IF($E194=참조!$B$7,참조!$C$7,IF($E194=참조!$B$8,참조!$C$8,"")))))))</f>
        <v>火</v>
      </c>
      <c r="G194" s="4" t="str">
        <f>IF($F194=참조!$C$2,참조!$D$2,IF($F194=참조!$C$8,참조!$D$2,IF(COUNTIF('2026년휴일'!$B:$B,$B194)&gt;0,참조!$D$2,참조!$D$3)))</f>
        <v>勤</v>
      </c>
      <c r="H194" s="31">
        <f>IF($G194=참조!$D$3,참조!$E$3,참조!$E$2)</f>
        <v>1000</v>
      </c>
      <c r="I194" s="31">
        <f>SUMIFS(지출기록_7월!$H$3:$H$312,지출기록_7월!$E$3:$E$312,B194,지출기록_7월!$F$3:$F$312,참조!$F$2)</f>
        <v>0</v>
      </c>
      <c r="J194" s="31">
        <f>SUMIFS(지출기록_7월!$H$3:$H$312,지출기록_7월!$E$3:$E$312,B194,지출기록_7월!$F$3:$F$312,참조!$F$3)</f>
        <v>0</v>
      </c>
      <c r="K194" s="31">
        <f t="shared" ref="K194:K203" si="29">I194-J194</f>
        <v>0</v>
      </c>
      <c r="L194" s="31">
        <f t="shared" ca="1" si="21"/>
        <v>1000</v>
      </c>
      <c r="M194" s="31">
        <f t="shared" si="25"/>
        <v>1000</v>
      </c>
    </row>
    <row r="195" spans="2:13" x14ac:dyDescent="0.3">
      <c r="B195" s="5">
        <f t="shared" si="20"/>
        <v>46211</v>
      </c>
      <c r="C195" s="3">
        <v>7</v>
      </c>
      <c r="D195" s="3">
        <v>8</v>
      </c>
      <c r="E195" s="3">
        <f t="shared" si="19"/>
        <v>4</v>
      </c>
      <c r="F195" s="4" t="str">
        <f>IF($E195=참조!$B$2,참조!$C$2,IF($E195=참조!$B$3,참조!$C$3,IF($E195=참조!$B$4,참조!$C$4,IF($E195=참조!$B$5,참조!$C$5,IF($E195=참조!$B$6,참조!$C$6,IF($E195=참조!$B$7,참조!$C$7,IF($E195=참조!$B$8,참조!$C$8,"")))))))</f>
        <v>水</v>
      </c>
      <c r="G195" s="4" t="str">
        <f>IF($F195=참조!$C$2,참조!$D$2,IF($F195=참조!$C$8,참조!$D$2,IF(COUNTIF('2026년휴일'!$B:$B,$B195)&gt;0,참조!$D$2,참조!$D$3)))</f>
        <v>勤</v>
      </c>
      <c r="H195" s="31">
        <f>IF($G195=참조!$D$3,참조!$E$3,참조!$E$2)</f>
        <v>1000</v>
      </c>
      <c r="I195" s="31">
        <f>SUMIFS(지출기록_7월!$H$3:$H$312,지출기록_7월!$E$3:$E$312,B195,지출기록_7월!$F$3:$F$312,참조!$F$2)</f>
        <v>0</v>
      </c>
      <c r="J195" s="31">
        <f>SUMIFS(지출기록_7월!$H$3:$H$312,지출기록_7월!$E$3:$E$312,B195,지출기록_7월!$F$3:$F$312,참조!$F$3)</f>
        <v>0</v>
      </c>
      <c r="K195" s="31">
        <f t="shared" si="29"/>
        <v>0</v>
      </c>
      <c r="L195" s="31">
        <f t="shared" ca="1" si="21"/>
        <v>1000</v>
      </c>
      <c r="M195" s="31">
        <f t="shared" si="25"/>
        <v>1000</v>
      </c>
    </row>
    <row r="196" spans="2:13" x14ac:dyDescent="0.3">
      <c r="B196" s="5">
        <f t="shared" si="20"/>
        <v>46212</v>
      </c>
      <c r="C196" s="3">
        <v>7</v>
      </c>
      <c r="D196" s="3">
        <v>9</v>
      </c>
      <c r="E196" s="3">
        <f t="shared" si="19"/>
        <v>5</v>
      </c>
      <c r="F196" s="4" t="str">
        <f>IF($E196=참조!$B$2,참조!$C$2,IF($E196=참조!$B$3,참조!$C$3,IF($E196=참조!$B$4,참조!$C$4,IF($E196=참조!$B$5,참조!$C$5,IF($E196=참조!$B$6,참조!$C$6,IF($E196=참조!$B$7,참조!$C$7,IF($E196=참조!$B$8,참조!$C$8,"")))))))</f>
        <v>木</v>
      </c>
      <c r="G196" s="4" t="str">
        <f>IF($F196=참조!$C$2,참조!$D$2,IF($F196=참조!$C$8,참조!$D$2,IF(COUNTIF('2026년휴일'!$B:$B,$B196)&gt;0,참조!$D$2,참조!$D$3)))</f>
        <v>勤</v>
      </c>
      <c r="H196" s="31">
        <f>IF($G196=참조!$D$3,참조!$E$3,참조!$E$2)</f>
        <v>1000</v>
      </c>
      <c r="I196" s="31">
        <f>SUMIFS(지출기록_7월!$H$3:$H$312,지출기록_7월!$E$3:$E$312,B196,지출기록_7월!$F$3:$F$312,참조!$F$2)</f>
        <v>0</v>
      </c>
      <c r="J196" s="31">
        <f>SUMIFS(지출기록_7월!$H$3:$H$312,지출기록_7월!$E$3:$E$312,B196,지출기록_7월!$F$3:$F$312,참조!$F$3)</f>
        <v>0</v>
      </c>
      <c r="K196" s="31">
        <f t="shared" si="29"/>
        <v>0</v>
      </c>
      <c r="L196" s="31">
        <f t="shared" ca="1" si="21"/>
        <v>1000</v>
      </c>
      <c r="M196" s="31">
        <f t="shared" si="25"/>
        <v>1000</v>
      </c>
    </row>
    <row r="197" spans="2:13" x14ac:dyDescent="0.3">
      <c r="B197" s="5">
        <f t="shared" si="20"/>
        <v>46213</v>
      </c>
      <c r="C197" s="3">
        <v>7</v>
      </c>
      <c r="D197" s="3">
        <v>10</v>
      </c>
      <c r="E197" s="3">
        <f t="shared" si="19"/>
        <v>6</v>
      </c>
      <c r="F197" s="4" t="str">
        <f>IF($E197=참조!$B$2,참조!$C$2,IF($E197=참조!$B$3,참조!$C$3,IF($E197=참조!$B$4,참조!$C$4,IF($E197=참조!$B$5,참조!$C$5,IF($E197=참조!$B$6,참조!$C$6,IF($E197=참조!$B$7,참조!$C$7,IF($E197=참조!$B$8,참조!$C$8,"")))))))</f>
        <v>金</v>
      </c>
      <c r="G197" s="4" t="str">
        <f>IF($F197=참조!$C$2,참조!$D$2,IF($F197=참조!$C$8,참조!$D$2,IF(COUNTIF('2026년휴일'!$B:$B,$B197)&gt;0,참조!$D$2,참조!$D$3)))</f>
        <v>勤</v>
      </c>
      <c r="H197" s="31">
        <f>IF($G197=참조!$D$3,참조!$E$3,참조!$E$2)</f>
        <v>1000</v>
      </c>
      <c r="I197" s="31">
        <f>SUMIFS(지출기록_7월!$H$3:$H$312,지출기록_7월!$E$3:$E$312,B197,지출기록_7월!$F$3:$F$312,참조!$F$2)</f>
        <v>0</v>
      </c>
      <c r="J197" s="31">
        <f>SUMIFS(지출기록_7월!$H$3:$H$312,지출기록_7월!$E$3:$E$312,B197,지출기록_7월!$F$3:$F$312,참조!$F$3)</f>
        <v>0</v>
      </c>
      <c r="K197" s="31">
        <f t="shared" si="29"/>
        <v>0</v>
      </c>
      <c r="L197" s="31">
        <f t="shared" ca="1" si="21"/>
        <v>1000</v>
      </c>
      <c r="M197" s="31">
        <f t="shared" si="25"/>
        <v>1000</v>
      </c>
    </row>
    <row r="198" spans="2:13" x14ac:dyDescent="0.3">
      <c r="B198" s="5">
        <f t="shared" si="20"/>
        <v>46214</v>
      </c>
      <c r="C198" s="3">
        <v>7</v>
      </c>
      <c r="D198" s="3">
        <v>11</v>
      </c>
      <c r="E198" s="3">
        <f t="shared" si="19"/>
        <v>7</v>
      </c>
      <c r="F198" s="4" t="str">
        <f>IF($E198=참조!$B$2,참조!$C$2,IF($E198=참조!$B$3,참조!$C$3,IF($E198=참조!$B$4,참조!$C$4,IF($E198=참조!$B$5,참조!$C$5,IF($E198=참조!$B$6,참조!$C$6,IF($E198=참조!$B$7,참조!$C$7,IF($E198=참조!$B$8,참조!$C$8,"")))))))</f>
        <v>土</v>
      </c>
      <c r="G198" s="4" t="str">
        <f>IF($F198=참조!$C$2,참조!$D$2,IF($F198=참조!$C$8,참조!$D$2,IF(COUNTIF('2026년휴일'!$B:$B,$B198)&gt;0,참조!$D$2,참조!$D$3)))</f>
        <v>休</v>
      </c>
      <c r="H198" s="31">
        <f>IF($G198=참조!$D$3,참조!$E$3,참조!$E$2)</f>
        <v>5000</v>
      </c>
      <c r="I198" s="31">
        <f>SUMIFS(지출기록_7월!$H$3:$H$312,지출기록_7월!$E$3:$E$312,B198,지출기록_7월!$F$3:$F$312,참조!$F$2)</f>
        <v>0</v>
      </c>
      <c r="J198" s="31">
        <f>SUMIFS(지출기록_7월!$H$3:$H$312,지출기록_7월!$E$3:$E$312,B198,지출기록_7월!$F$3:$F$312,참조!$F$3)</f>
        <v>0</v>
      </c>
      <c r="K198" s="31">
        <f t="shared" si="29"/>
        <v>0</v>
      </c>
      <c r="L198" s="31">
        <f t="shared" ca="1" si="21"/>
        <v>5000</v>
      </c>
      <c r="M198" s="31">
        <f t="shared" si="25"/>
        <v>5000</v>
      </c>
    </row>
    <row r="199" spans="2:13" x14ac:dyDescent="0.3">
      <c r="B199" s="5">
        <f t="shared" si="20"/>
        <v>46215</v>
      </c>
      <c r="C199" s="3">
        <v>7</v>
      </c>
      <c r="D199" s="3">
        <v>12</v>
      </c>
      <c r="E199" s="3">
        <f t="shared" ref="E199:E262" si="30">WEEKDAY(B199)</f>
        <v>1</v>
      </c>
      <c r="F199" s="4" t="str">
        <f>IF($E199=참조!$B$2,참조!$C$2,IF($E199=참조!$B$3,참조!$C$3,IF($E199=참조!$B$4,참조!$C$4,IF($E199=참조!$B$5,참조!$C$5,IF($E199=참조!$B$6,참조!$C$6,IF($E199=참조!$B$7,참조!$C$7,IF($E199=참조!$B$8,참조!$C$8,"")))))))</f>
        <v>日</v>
      </c>
      <c r="G199" s="4" t="str">
        <f>IF($F199=참조!$C$2,참조!$D$2,IF($F199=참조!$C$8,참조!$D$2,IF(COUNTIF('2026년휴일'!$B:$B,$B199)&gt;0,참조!$D$2,참조!$D$3)))</f>
        <v>休</v>
      </c>
      <c r="H199" s="31">
        <f>IF($G199=참조!$D$3,참조!$E$3,참조!$E$2)</f>
        <v>5000</v>
      </c>
      <c r="I199" s="31">
        <f>SUMIFS(지출기록_7월!$H$3:$H$312,지출기록_7월!$E$3:$E$312,B199,지출기록_7월!$F$3:$F$312,참조!$F$2)</f>
        <v>0</v>
      </c>
      <c r="J199" s="31">
        <f>SUMIFS(지출기록_7월!$H$3:$H$312,지출기록_7월!$E$3:$E$312,B199,지출기록_7월!$F$3:$F$312,참조!$F$3)</f>
        <v>0</v>
      </c>
      <c r="K199" s="31">
        <f t="shared" si="29"/>
        <v>0</v>
      </c>
      <c r="L199" s="31">
        <f t="shared" ca="1" si="21"/>
        <v>5000</v>
      </c>
      <c r="M199" s="31">
        <f t="shared" si="25"/>
        <v>5000</v>
      </c>
    </row>
    <row r="200" spans="2:13" x14ac:dyDescent="0.3">
      <c r="B200" s="5">
        <f t="shared" ref="B200:B263" si="31">DATE($A$1,C200,D200)</f>
        <v>46216</v>
      </c>
      <c r="C200" s="3">
        <v>7</v>
      </c>
      <c r="D200" s="3">
        <v>13</v>
      </c>
      <c r="E200" s="3">
        <f t="shared" si="30"/>
        <v>2</v>
      </c>
      <c r="F200" s="4" t="str">
        <f>IF($E200=참조!$B$2,참조!$C$2,IF($E200=참조!$B$3,참조!$C$3,IF($E200=참조!$B$4,참조!$C$4,IF($E200=참조!$B$5,참조!$C$5,IF($E200=참조!$B$6,참조!$C$6,IF($E200=참조!$B$7,참조!$C$7,IF($E200=참조!$B$8,참조!$C$8,"")))))))</f>
        <v>月</v>
      </c>
      <c r="G200" s="4" t="str">
        <f>IF($F200=참조!$C$2,참조!$D$2,IF($F200=참조!$C$8,참조!$D$2,IF(COUNTIF('2026년휴일'!$B:$B,$B200)&gt;0,참조!$D$2,참조!$D$3)))</f>
        <v>勤</v>
      </c>
      <c r="H200" s="31">
        <f>IF($G200=참조!$D$3,참조!$E$3,참조!$E$2)</f>
        <v>1000</v>
      </c>
      <c r="I200" s="31">
        <f>SUMIFS(지출기록_7월!$H$3:$H$312,지출기록_7월!$E$3:$E$312,B200,지출기록_7월!$F$3:$F$312,참조!$F$2)</f>
        <v>0</v>
      </c>
      <c r="J200" s="31">
        <f>SUMIFS(지출기록_7월!$H$3:$H$312,지출기록_7월!$E$3:$E$312,B200,지출기록_7월!$F$3:$F$312,참조!$F$3)</f>
        <v>0</v>
      </c>
      <c r="K200" s="31">
        <f t="shared" si="29"/>
        <v>0</v>
      </c>
      <c r="L200" s="31">
        <f t="shared" ref="L200:L263" ca="1" si="32">IF(B200&gt;$B$2,H200,K200)</f>
        <v>1000</v>
      </c>
      <c r="M200" s="31">
        <f t="shared" si="25"/>
        <v>1000</v>
      </c>
    </row>
    <row r="201" spans="2:13" x14ac:dyDescent="0.3">
      <c r="B201" s="5">
        <f t="shared" si="31"/>
        <v>46217</v>
      </c>
      <c r="C201" s="3">
        <v>7</v>
      </c>
      <c r="D201" s="3">
        <v>14</v>
      </c>
      <c r="E201" s="3">
        <f t="shared" si="30"/>
        <v>3</v>
      </c>
      <c r="F201" s="4" t="str">
        <f>IF($E201=참조!$B$2,참조!$C$2,IF($E201=참조!$B$3,참조!$C$3,IF($E201=참조!$B$4,참조!$C$4,IF($E201=참조!$B$5,참조!$C$5,IF($E201=참조!$B$6,참조!$C$6,IF($E201=참조!$B$7,참조!$C$7,IF($E201=참조!$B$8,참조!$C$8,"")))))))</f>
        <v>火</v>
      </c>
      <c r="G201" s="4" t="str">
        <f>IF($F201=참조!$C$2,참조!$D$2,IF($F201=참조!$C$8,참조!$D$2,IF(COUNTIF('2026년휴일'!$B:$B,$B201)&gt;0,참조!$D$2,참조!$D$3)))</f>
        <v>勤</v>
      </c>
      <c r="H201" s="31">
        <f>IF($G201=참조!$D$3,참조!$E$3,참조!$E$2)</f>
        <v>1000</v>
      </c>
      <c r="I201" s="31">
        <f>SUMIFS(지출기록_7월!$H$3:$H$312,지출기록_7월!$E$3:$E$312,B201,지출기록_7월!$F$3:$F$312,참조!$F$2)</f>
        <v>0</v>
      </c>
      <c r="J201" s="31">
        <f>SUMIFS(지출기록_7월!$H$3:$H$312,지출기록_7월!$E$3:$E$312,B201,지출기록_7월!$F$3:$F$312,참조!$F$3)</f>
        <v>0</v>
      </c>
      <c r="K201" s="31">
        <f t="shared" si="29"/>
        <v>0</v>
      </c>
      <c r="L201" s="31">
        <f t="shared" ca="1" si="32"/>
        <v>1000</v>
      </c>
      <c r="M201" s="31">
        <f t="shared" si="25"/>
        <v>1000</v>
      </c>
    </row>
    <row r="202" spans="2:13" x14ac:dyDescent="0.3">
      <c r="B202" s="5">
        <f t="shared" si="31"/>
        <v>46218</v>
      </c>
      <c r="C202" s="3">
        <v>7</v>
      </c>
      <c r="D202" s="3">
        <v>15</v>
      </c>
      <c r="E202" s="3">
        <f t="shared" si="30"/>
        <v>4</v>
      </c>
      <c r="F202" s="4" t="str">
        <f>IF($E202=참조!$B$2,참조!$C$2,IF($E202=참조!$B$3,참조!$C$3,IF($E202=참조!$B$4,참조!$C$4,IF($E202=참조!$B$5,참조!$C$5,IF($E202=참조!$B$6,참조!$C$6,IF($E202=참조!$B$7,참조!$C$7,IF($E202=참조!$B$8,참조!$C$8,"")))))))</f>
        <v>水</v>
      </c>
      <c r="G202" s="4" t="str">
        <f>IF($F202=참조!$C$2,참조!$D$2,IF($F202=참조!$C$8,참조!$D$2,IF(COUNTIF('2026년휴일'!$B:$B,$B202)&gt;0,참조!$D$2,참조!$D$3)))</f>
        <v>勤</v>
      </c>
      <c r="H202" s="31">
        <f>IF($G202=참조!$D$3,참조!$E$3,참조!$E$2)</f>
        <v>1000</v>
      </c>
      <c r="I202" s="31">
        <f>SUMIFS(지출기록_7월!$H$3:$H$312,지출기록_7월!$E$3:$E$312,B202,지출기록_7월!$F$3:$F$312,참조!$F$2)</f>
        <v>0</v>
      </c>
      <c r="J202" s="31">
        <f>SUMIFS(지출기록_7월!$H$3:$H$312,지출기록_7월!$E$3:$E$312,B202,지출기록_7월!$F$3:$F$312,참조!$F$3)</f>
        <v>0</v>
      </c>
      <c r="K202" s="31">
        <f t="shared" si="29"/>
        <v>0</v>
      </c>
      <c r="L202" s="31">
        <f t="shared" ca="1" si="32"/>
        <v>1000</v>
      </c>
      <c r="M202" s="31">
        <f t="shared" si="25"/>
        <v>1000</v>
      </c>
    </row>
    <row r="203" spans="2:13" x14ac:dyDescent="0.3">
      <c r="B203" s="5">
        <f t="shared" si="31"/>
        <v>46219</v>
      </c>
      <c r="C203" s="3">
        <v>7</v>
      </c>
      <c r="D203" s="3">
        <v>16</v>
      </c>
      <c r="E203" s="3">
        <f t="shared" si="30"/>
        <v>5</v>
      </c>
      <c r="F203" s="4" t="str">
        <f>IF($E203=참조!$B$2,참조!$C$2,IF($E203=참조!$B$3,참조!$C$3,IF($E203=참조!$B$4,참조!$C$4,IF($E203=참조!$B$5,참조!$C$5,IF($E203=참조!$B$6,참조!$C$6,IF($E203=참조!$B$7,참조!$C$7,IF($E203=참조!$B$8,참조!$C$8,"")))))))</f>
        <v>木</v>
      </c>
      <c r="G203" s="4" t="str">
        <f>IF($F203=참조!$C$2,참조!$D$2,IF($F203=참조!$C$8,참조!$D$2,IF(COUNTIF('2026년휴일'!$B:$B,$B203)&gt;0,참조!$D$2,참조!$D$3)))</f>
        <v>勤</v>
      </c>
      <c r="H203" s="31">
        <f>IF($G203=참조!$D$3,참조!$E$3,참조!$E$2)</f>
        <v>1000</v>
      </c>
      <c r="I203" s="31">
        <f>SUMIFS(지출기록_7월!$H$3:$H$312,지출기록_7월!$E$3:$E$312,B203,지출기록_7월!$F$3:$F$312,참조!$F$2)</f>
        <v>0</v>
      </c>
      <c r="J203" s="31">
        <f>SUMIFS(지출기록_7월!$H$3:$H$312,지출기록_7월!$E$3:$E$312,B203,지출기록_7월!$F$3:$F$312,참조!$F$3)</f>
        <v>0</v>
      </c>
      <c r="K203" s="31">
        <f t="shared" si="29"/>
        <v>0</v>
      </c>
      <c r="L203" s="31">
        <f t="shared" ca="1" si="32"/>
        <v>1000</v>
      </c>
      <c r="M203" s="31">
        <f t="shared" si="25"/>
        <v>1000</v>
      </c>
    </row>
    <row r="204" spans="2:13" x14ac:dyDescent="0.3">
      <c r="B204" s="5">
        <f t="shared" si="31"/>
        <v>46220</v>
      </c>
      <c r="C204" s="3">
        <v>7</v>
      </c>
      <c r="D204" s="3">
        <v>17</v>
      </c>
      <c r="E204" s="3">
        <f t="shared" si="30"/>
        <v>6</v>
      </c>
      <c r="F204" s="4" t="str">
        <f>IF($E204=참조!$B$2,참조!$C$2,IF($E204=참조!$B$3,참조!$C$3,IF($E204=참조!$B$4,참조!$C$4,IF($E204=참조!$B$5,참조!$C$5,IF($E204=참조!$B$6,참조!$C$6,IF($E204=참조!$B$7,참조!$C$7,IF($E204=참조!$B$8,참조!$C$8,"")))))))</f>
        <v>金</v>
      </c>
      <c r="G204" s="4" t="str">
        <f>IF($F204=참조!$C$2,참조!$D$2,IF($F204=참조!$C$8,참조!$D$2,IF(COUNTIF('2026년휴일'!$B:$B,$B204)&gt;0,참조!$D$2,참조!$D$3)))</f>
        <v>勤</v>
      </c>
      <c r="H204" s="31">
        <f>IF($G204=참조!$D$3,참조!$E$3,참조!$E$2)</f>
        <v>1000</v>
      </c>
      <c r="I204" s="31">
        <f>SUMIFS(지출기록_7월!$H$3:$H$312,지출기록_7월!$E$3:$E$312,B204,지출기록_7월!$F$3:$F$312,참조!$F$2)</f>
        <v>0</v>
      </c>
      <c r="J204" s="31">
        <f>SUMIFS(지출기록_7월!$H$3:$H$312,지출기록_7월!$E$3:$E$312,B204,지출기록_7월!$F$3:$F$312,참조!$F$3)</f>
        <v>0</v>
      </c>
      <c r="K204" s="31">
        <f t="shared" ref="K204" si="33">I204-J204</f>
        <v>0</v>
      </c>
      <c r="L204" s="31">
        <f t="shared" ca="1" si="32"/>
        <v>1000</v>
      </c>
      <c r="M204" s="31">
        <f t="shared" si="25"/>
        <v>1000</v>
      </c>
    </row>
    <row r="205" spans="2:13" x14ac:dyDescent="0.3">
      <c r="B205" s="5">
        <f t="shared" si="31"/>
        <v>46221</v>
      </c>
      <c r="C205" s="3">
        <v>7</v>
      </c>
      <c r="D205" s="3">
        <v>18</v>
      </c>
      <c r="E205" s="3">
        <f t="shared" si="30"/>
        <v>7</v>
      </c>
      <c r="F205" s="4" t="str">
        <f>IF($E205=참조!$B$2,참조!$C$2,IF($E205=참조!$B$3,참조!$C$3,IF($E205=참조!$B$4,참조!$C$4,IF($E205=참조!$B$5,참조!$C$5,IF($E205=참조!$B$6,참조!$C$6,IF($E205=참조!$B$7,참조!$C$7,IF($E205=참조!$B$8,참조!$C$8,"")))))))</f>
        <v>土</v>
      </c>
      <c r="G205" s="4" t="str">
        <f>IF($F205=참조!$C$2,참조!$D$2,IF($F205=참조!$C$8,참조!$D$2,IF(COUNTIF('2026년휴일'!$B:$B,$B205)&gt;0,참조!$D$2,참조!$D$3)))</f>
        <v>休</v>
      </c>
      <c r="H205" s="31">
        <f>IF($G205=참조!$D$3,참조!$E$3,참조!$E$2)</f>
        <v>5000</v>
      </c>
      <c r="I205" s="31">
        <f>SUMIFS(지출기록_7월!$H$3:$H$312,지출기록_7월!$E$3:$E$312,B205,지출기록_7월!$F$3:$F$312,참조!$F$2)</f>
        <v>0</v>
      </c>
      <c r="J205" s="31">
        <f>SUMIFS(지출기록_7월!$H$3:$H$312,지출기록_7월!$E$3:$E$312,B205,지출기록_7월!$F$3:$F$312,참조!$F$3)</f>
        <v>0</v>
      </c>
      <c r="K205" s="31">
        <f t="shared" ref="K205" si="34">I205-J205</f>
        <v>0</v>
      </c>
      <c r="L205" s="31">
        <f t="shared" ca="1" si="32"/>
        <v>5000</v>
      </c>
      <c r="M205" s="31">
        <f t="shared" si="25"/>
        <v>5000</v>
      </c>
    </row>
    <row r="206" spans="2:13" x14ac:dyDescent="0.3">
      <c r="B206" s="5">
        <f t="shared" si="31"/>
        <v>46222</v>
      </c>
      <c r="C206" s="3">
        <v>7</v>
      </c>
      <c r="D206" s="3">
        <v>19</v>
      </c>
      <c r="E206" s="3">
        <f t="shared" si="30"/>
        <v>1</v>
      </c>
      <c r="F206" s="4" t="str">
        <f>IF($E206=참조!$B$2,참조!$C$2,IF($E206=참조!$B$3,참조!$C$3,IF($E206=참조!$B$4,참조!$C$4,IF($E206=참조!$B$5,참조!$C$5,IF($E206=참조!$B$6,참조!$C$6,IF($E206=참조!$B$7,참조!$C$7,IF($E206=참조!$B$8,참조!$C$8,"")))))))</f>
        <v>日</v>
      </c>
      <c r="G206" s="4" t="str">
        <f>IF($F206=참조!$C$2,참조!$D$2,IF($F206=참조!$C$8,참조!$D$2,IF(COUNTIF('2026년휴일'!$B:$B,$B206)&gt;0,참조!$D$2,참조!$D$3)))</f>
        <v>休</v>
      </c>
      <c r="H206" s="31">
        <f>IF($G206=참조!$D$3,참조!$E$3,참조!$E$2)</f>
        <v>5000</v>
      </c>
      <c r="I206" s="31">
        <f>SUMIFS(지출기록_7월!$H$3:$H$312,지출기록_7월!$E$3:$E$312,B206,지출기록_7월!$F$3:$F$312,참조!$F$2)</f>
        <v>0</v>
      </c>
      <c r="J206" s="31">
        <f>SUMIFS(지출기록_7월!$H$3:$H$312,지출기록_7월!$E$3:$E$312,B206,지출기록_7월!$F$3:$F$312,참조!$F$3)</f>
        <v>0</v>
      </c>
      <c r="K206" s="31">
        <f t="shared" ref="K206:K207" si="35">I206-J206</f>
        <v>0</v>
      </c>
      <c r="L206" s="31">
        <f t="shared" ca="1" si="32"/>
        <v>5000</v>
      </c>
      <c r="M206" s="31">
        <f t="shared" si="25"/>
        <v>5000</v>
      </c>
    </row>
    <row r="207" spans="2:13" x14ac:dyDescent="0.3">
      <c r="B207" s="5">
        <f t="shared" si="31"/>
        <v>46223</v>
      </c>
      <c r="C207" s="3">
        <v>7</v>
      </c>
      <c r="D207" s="3">
        <v>20</v>
      </c>
      <c r="E207" s="3">
        <f t="shared" si="30"/>
        <v>2</v>
      </c>
      <c r="F207" s="4" t="str">
        <f>IF($E207=참조!$B$2,참조!$C$2,IF($E207=참조!$B$3,참조!$C$3,IF($E207=참조!$B$4,참조!$C$4,IF($E207=참조!$B$5,참조!$C$5,IF($E207=참조!$B$6,참조!$C$6,IF($E207=참조!$B$7,참조!$C$7,IF($E207=참조!$B$8,참조!$C$8,"")))))))</f>
        <v>月</v>
      </c>
      <c r="G207" s="4" t="str">
        <f>IF($F207=참조!$C$2,참조!$D$2,IF($F207=참조!$C$8,참조!$D$2,IF(COUNTIF('2026년휴일'!$B:$B,$B207)&gt;0,참조!$D$2,참조!$D$3)))</f>
        <v>休</v>
      </c>
      <c r="H207" s="31">
        <f>IF($G207=참조!$D$3,참조!$E$3,참조!$E$2)</f>
        <v>5000</v>
      </c>
      <c r="I207" s="31">
        <f>SUMIFS(지출기록_7월!$H$3:$H$312,지출기록_7월!$E$3:$E$312,B207,지출기록_7월!$F$3:$F$312,참조!$F$2)</f>
        <v>0</v>
      </c>
      <c r="J207" s="31">
        <f>SUMIFS(지출기록_7월!$H$3:$H$312,지출기록_7월!$E$3:$E$312,B207,지출기록_7월!$F$3:$F$312,참조!$F$3)</f>
        <v>0</v>
      </c>
      <c r="K207" s="31">
        <f t="shared" si="35"/>
        <v>0</v>
      </c>
      <c r="L207" s="31">
        <f t="shared" ca="1" si="32"/>
        <v>5000</v>
      </c>
      <c r="M207" s="31">
        <f t="shared" si="25"/>
        <v>5000</v>
      </c>
    </row>
    <row r="208" spans="2:13" x14ac:dyDescent="0.3">
      <c r="B208" s="5">
        <f t="shared" si="31"/>
        <v>46224</v>
      </c>
      <c r="C208" s="3">
        <v>7</v>
      </c>
      <c r="D208" s="3">
        <v>21</v>
      </c>
      <c r="E208" s="3">
        <f t="shared" si="30"/>
        <v>3</v>
      </c>
      <c r="F208" s="4" t="str">
        <f>IF($E208=참조!$B$2,참조!$C$2,IF($E208=참조!$B$3,참조!$C$3,IF($E208=참조!$B$4,참조!$C$4,IF($E208=참조!$B$5,참조!$C$5,IF($E208=참조!$B$6,참조!$C$6,IF($E208=참조!$B$7,참조!$C$7,IF($E208=참조!$B$8,참조!$C$8,"")))))))</f>
        <v>火</v>
      </c>
      <c r="G208" s="4" t="str">
        <f>IF($F208=참조!$C$2,참조!$D$2,IF($F208=참조!$C$8,참조!$D$2,IF(COUNTIF('2026년휴일'!$B:$B,$B208)&gt;0,참조!$D$2,참조!$D$3)))</f>
        <v>勤</v>
      </c>
      <c r="H208" s="31">
        <f>IF($G208=참조!$D$3,참조!$E$3,참조!$E$2)</f>
        <v>1000</v>
      </c>
      <c r="I208" s="31">
        <f>SUMIFS(지출기록_7월!$H$3:$H$312,지출기록_7월!$E$3:$E$312,B208,지출기록_7월!$F$3:$F$312,참조!$F$2)</f>
        <v>0</v>
      </c>
      <c r="J208" s="31">
        <f>SUMIFS(지출기록_7월!$H$3:$H$312,지출기록_7월!$E$3:$E$312,B208,지출기록_7월!$F$3:$F$312,참조!$F$3)</f>
        <v>0</v>
      </c>
      <c r="K208" s="31">
        <f t="shared" ref="K208:K212" si="36">I208-J208</f>
        <v>0</v>
      </c>
      <c r="L208" s="31">
        <f t="shared" ca="1" si="32"/>
        <v>1000</v>
      </c>
      <c r="M208" s="31">
        <f t="shared" si="25"/>
        <v>1000</v>
      </c>
    </row>
    <row r="209" spans="2:14" x14ac:dyDescent="0.3">
      <c r="B209" s="5">
        <f t="shared" si="31"/>
        <v>46225</v>
      </c>
      <c r="C209" s="3">
        <v>7</v>
      </c>
      <c r="D209" s="3">
        <v>22</v>
      </c>
      <c r="E209" s="3">
        <f t="shared" si="30"/>
        <v>4</v>
      </c>
      <c r="F209" s="4" t="str">
        <f>IF($E209=참조!$B$2,참조!$C$2,IF($E209=참조!$B$3,참조!$C$3,IF($E209=참조!$B$4,참조!$C$4,IF($E209=참조!$B$5,참조!$C$5,IF($E209=참조!$B$6,참조!$C$6,IF($E209=참조!$B$7,참조!$C$7,IF($E209=참조!$B$8,참조!$C$8,"")))))))</f>
        <v>水</v>
      </c>
      <c r="G209" s="4" t="str">
        <f>IF($F209=참조!$C$2,참조!$D$2,IF($F209=참조!$C$8,참조!$D$2,IF(COUNTIF('2026년휴일'!$B:$B,$B209)&gt;0,참조!$D$2,참조!$D$3)))</f>
        <v>勤</v>
      </c>
      <c r="H209" s="31">
        <f>IF($G209=참조!$D$3,참조!$E$3,참조!$E$2)</f>
        <v>1000</v>
      </c>
      <c r="I209" s="31">
        <f>SUMIFS(지출기록_7월!$H$3:$H$312,지출기록_7월!$E$3:$E$312,B209,지출기록_7월!$F$3:$F$312,참조!$F$2)</f>
        <v>0</v>
      </c>
      <c r="J209" s="31">
        <f>SUMIFS(지출기록_7월!$H$3:$H$312,지출기록_7월!$E$3:$E$312,B209,지출기록_7월!$F$3:$F$312,참조!$F$3)</f>
        <v>0</v>
      </c>
      <c r="K209" s="31">
        <f t="shared" si="36"/>
        <v>0</v>
      </c>
      <c r="L209" s="31">
        <f t="shared" ca="1" si="32"/>
        <v>1000</v>
      </c>
      <c r="M209" s="31">
        <f t="shared" si="25"/>
        <v>1000</v>
      </c>
    </row>
    <row r="210" spans="2:14" x14ac:dyDescent="0.3">
      <c r="B210" s="5">
        <f t="shared" si="31"/>
        <v>46226</v>
      </c>
      <c r="C210" s="3">
        <v>7</v>
      </c>
      <c r="D210" s="3">
        <v>23</v>
      </c>
      <c r="E210" s="3">
        <f t="shared" si="30"/>
        <v>5</v>
      </c>
      <c r="F210" s="4" t="str">
        <f>IF($E210=참조!$B$2,참조!$C$2,IF($E210=참조!$B$3,참조!$C$3,IF($E210=참조!$B$4,참조!$C$4,IF($E210=참조!$B$5,참조!$C$5,IF($E210=참조!$B$6,참조!$C$6,IF($E210=참조!$B$7,참조!$C$7,IF($E210=참조!$B$8,참조!$C$8,"")))))))</f>
        <v>木</v>
      </c>
      <c r="G210" s="4" t="str">
        <f>IF($F210=참조!$C$2,참조!$D$2,IF($F210=참조!$C$8,참조!$D$2,IF(COUNTIF('2026년휴일'!$B:$B,$B210)&gt;0,참조!$D$2,참조!$D$3)))</f>
        <v>勤</v>
      </c>
      <c r="H210" s="31">
        <f>IF($G210=참조!$D$3,참조!$E$3,참조!$E$2)</f>
        <v>1000</v>
      </c>
      <c r="I210" s="31">
        <f>SUMIFS(지출기록_7월!$H$3:$H$312,지출기록_7월!$E$3:$E$312,B210,지출기록_7월!$F$3:$F$312,참조!$F$2)</f>
        <v>0</v>
      </c>
      <c r="J210" s="31">
        <f>SUMIFS(지출기록_7월!$H$3:$H$312,지출기록_7월!$E$3:$E$312,B210,지출기록_7월!$F$3:$F$312,참조!$F$3)</f>
        <v>0</v>
      </c>
      <c r="K210" s="31">
        <f t="shared" si="36"/>
        <v>0</v>
      </c>
      <c r="L210" s="31">
        <f t="shared" ca="1" si="32"/>
        <v>1000</v>
      </c>
      <c r="M210" s="31">
        <f t="shared" si="25"/>
        <v>1000</v>
      </c>
    </row>
    <row r="211" spans="2:14" x14ac:dyDescent="0.3">
      <c r="B211" s="5">
        <f t="shared" si="31"/>
        <v>46227</v>
      </c>
      <c r="C211" s="3">
        <v>7</v>
      </c>
      <c r="D211" s="3">
        <v>24</v>
      </c>
      <c r="E211" s="3">
        <f t="shared" si="30"/>
        <v>6</v>
      </c>
      <c r="F211" s="4" t="str">
        <f>IF($E211=참조!$B$2,참조!$C$2,IF($E211=참조!$B$3,참조!$C$3,IF($E211=참조!$B$4,참조!$C$4,IF($E211=참조!$B$5,참조!$C$5,IF($E211=참조!$B$6,참조!$C$6,IF($E211=참조!$B$7,참조!$C$7,IF($E211=참조!$B$8,참조!$C$8,"")))))))</f>
        <v>金</v>
      </c>
      <c r="G211" s="4" t="str">
        <f>IF($F211=참조!$C$2,참조!$D$2,IF($F211=참조!$C$8,참조!$D$2,IF(COUNTIF('2026년휴일'!$B:$B,$B211)&gt;0,참조!$D$2,참조!$D$3)))</f>
        <v>勤</v>
      </c>
      <c r="H211" s="31">
        <f>IF($G211=참조!$D$3,참조!$E$3,참조!$E$2)</f>
        <v>1000</v>
      </c>
      <c r="I211" s="31">
        <f>SUMIFS(지출기록_7월!$H$3:$H$312,지출기록_7월!$E$3:$E$312,B211,지출기록_7월!$F$3:$F$312,참조!$F$2)</f>
        <v>0</v>
      </c>
      <c r="J211" s="31">
        <f>SUMIFS(지출기록_7월!$H$3:$H$312,지출기록_7월!$E$3:$E$312,B211,지출기록_7월!$F$3:$F$312,참조!$F$3)</f>
        <v>0</v>
      </c>
      <c r="K211" s="31">
        <f t="shared" si="36"/>
        <v>0</v>
      </c>
      <c r="L211" s="31">
        <f t="shared" ca="1" si="32"/>
        <v>1000</v>
      </c>
      <c r="M211" s="31">
        <f t="shared" si="25"/>
        <v>1000</v>
      </c>
    </row>
    <row r="212" spans="2:14" x14ac:dyDescent="0.3">
      <c r="B212" s="5">
        <f t="shared" si="31"/>
        <v>46228</v>
      </c>
      <c r="C212" s="3">
        <v>7</v>
      </c>
      <c r="D212" s="3">
        <v>25</v>
      </c>
      <c r="E212" s="3">
        <f t="shared" si="30"/>
        <v>7</v>
      </c>
      <c r="F212" s="4" t="str">
        <f>IF($E212=참조!$B$2,참조!$C$2,IF($E212=참조!$B$3,참조!$C$3,IF($E212=참조!$B$4,참조!$C$4,IF($E212=참조!$B$5,참조!$C$5,IF($E212=참조!$B$6,참조!$C$6,IF($E212=참조!$B$7,참조!$C$7,IF($E212=참조!$B$8,참조!$C$8,"")))))))</f>
        <v>土</v>
      </c>
      <c r="G212" s="4" t="str">
        <f>IF($F212=참조!$C$2,참조!$D$2,IF($F212=참조!$C$8,참조!$D$2,IF(COUNTIF('2026년휴일'!$B:$B,$B212)&gt;0,참조!$D$2,참조!$D$3)))</f>
        <v>休</v>
      </c>
      <c r="H212" s="31">
        <f>IF($G212=참조!$D$3,참조!$E$3,참조!$E$2)</f>
        <v>5000</v>
      </c>
      <c r="I212" s="31">
        <f>SUMIFS(지출기록_7월!$H$3:$H$312,지출기록_7월!$E$3:$E$312,B212,지출기록_7월!$F$3:$F$312,참조!$F$2)</f>
        <v>0</v>
      </c>
      <c r="J212" s="31">
        <f>SUMIFS(지출기록_7월!$H$3:$H$312,지출기록_7월!$E$3:$E$312,B212,지출기록_7월!$F$3:$F$312,참조!$F$3)</f>
        <v>0</v>
      </c>
      <c r="K212" s="31">
        <f t="shared" si="36"/>
        <v>0</v>
      </c>
      <c r="L212" s="31">
        <f t="shared" ca="1" si="32"/>
        <v>5000</v>
      </c>
      <c r="M212" s="31">
        <f t="shared" si="25"/>
        <v>5000</v>
      </c>
    </row>
    <row r="213" spans="2:14" x14ac:dyDescent="0.3">
      <c r="B213" s="5">
        <f t="shared" si="31"/>
        <v>46229</v>
      </c>
      <c r="C213" s="3">
        <v>7</v>
      </c>
      <c r="D213" s="3">
        <v>26</v>
      </c>
      <c r="E213" s="3">
        <f t="shared" si="30"/>
        <v>1</v>
      </c>
      <c r="F213" s="4" t="str">
        <f>IF($E213=참조!$B$2,참조!$C$2,IF($E213=참조!$B$3,참조!$C$3,IF($E213=참조!$B$4,참조!$C$4,IF($E213=참조!$B$5,참조!$C$5,IF($E213=참조!$B$6,참조!$C$6,IF($E213=참조!$B$7,참조!$C$7,IF($E213=참조!$B$8,참조!$C$8,"")))))))</f>
        <v>日</v>
      </c>
      <c r="G213" s="4" t="str">
        <f>IF($F213=참조!$C$2,참조!$D$2,IF($F213=참조!$C$8,참조!$D$2,IF(COUNTIF('2026년휴일'!$B:$B,$B213)&gt;0,참조!$D$2,참조!$D$3)))</f>
        <v>休</v>
      </c>
      <c r="H213" s="31">
        <f>IF($G213=참조!$D$3,참조!$E$3,참조!$E$2)</f>
        <v>5000</v>
      </c>
      <c r="I213" s="31">
        <f>SUMIFS(지출기록_7월!$H$3:$H$312,지출기록_7월!$E$3:$E$312,B213,지출기록_7월!$F$3:$F$312,참조!$F$2)</f>
        <v>0</v>
      </c>
      <c r="J213" s="31">
        <f>SUMIFS(지출기록_7월!$H$3:$H$312,지출기록_7월!$E$3:$E$312,B213,지출기록_7월!$F$3:$F$312,참조!$F$3)</f>
        <v>0</v>
      </c>
      <c r="K213" s="31">
        <f t="shared" ref="K213:K215" si="37">I213-J213</f>
        <v>0</v>
      </c>
      <c r="L213" s="31">
        <f t="shared" ca="1" si="32"/>
        <v>5000</v>
      </c>
      <c r="M213" s="31">
        <f t="shared" si="25"/>
        <v>5000</v>
      </c>
    </row>
    <row r="214" spans="2:14" x14ac:dyDescent="0.3">
      <c r="B214" s="5">
        <f t="shared" si="31"/>
        <v>46230</v>
      </c>
      <c r="C214" s="3">
        <v>7</v>
      </c>
      <c r="D214" s="3">
        <v>27</v>
      </c>
      <c r="E214" s="3">
        <f t="shared" si="30"/>
        <v>2</v>
      </c>
      <c r="F214" s="4" t="str">
        <f>IF($E214=참조!$B$2,참조!$C$2,IF($E214=참조!$B$3,참조!$C$3,IF($E214=참조!$B$4,참조!$C$4,IF($E214=참조!$B$5,참조!$C$5,IF($E214=참조!$B$6,참조!$C$6,IF($E214=참조!$B$7,참조!$C$7,IF($E214=참조!$B$8,참조!$C$8,"")))))))</f>
        <v>月</v>
      </c>
      <c r="G214" s="4" t="str">
        <f>IF($F214=참조!$C$2,참조!$D$2,IF($F214=참조!$C$8,참조!$D$2,IF(COUNTIF('2026년휴일'!$B:$B,$B214)&gt;0,참조!$D$2,참조!$D$3)))</f>
        <v>勤</v>
      </c>
      <c r="H214" s="31">
        <f>IF($G214=참조!$D$3,참조!$E$3,참조!$E$2)</f>
        <v>1000</v>
      </c>
      <c r="I214" s="31">
        <f>SUMIFS(지출기록_7월!$H$3:$H$312,지출기록_7월!$E$3:$E$312,B214,지출기록_7월!$F$3:$F$312,참조!$F$2)</f>
        <v>0</v>
      </c>
      <c r="J214" s="31">
        <f>SUMIFS(지출기록_7월!$H$3:$H$312,지출기록_7월!$E$3:$E$312,B214,지출기록_7월!$F$3:$F$312,참조!$F$3)</f>
        <v>0</v>
      </c>
      <c r="K214" s="31">
        <f t="shared" si="37"/>
        <v>0</v>
      </c>
      <c r="L214" s="31">
        <f t="shared" ca="1" si="32"/>
        <v>1000</v>
      </c>
      <c r="M214" s="31">
        <f t="shared" si="25"/>
        <v>1000</v>
      </c>
    </row>
    <row r="215" spans="2:14" x14ac:dyDescent="0.3">
      <c r="B215" s="5">
        <f t="shared" si="31"/>
        <v>46231</v>
      </c>
      <c r="C215" s="3">
        <v>7</v>
      </c>
      <c r="D215" s="3">
        <v>28</v>
      </c>
      <c r="E215" s="3">
        <f t="shared" si="30"/>
        <v>3</v>
      </c>
      <c r="F215" s="4" t="str">
        <f>IF($E215=참조!$B$2,참조!$C$2,IF($E215=참조!$B$3,참조!$C$3,IF($E215=참조!$B$4,참조!$C$4,IF($E215=참조!$B$5,참조!$C$5,IF($E215=참조!$B$6,참조!$C$6,IF($E215=참조!$B$7,참조!$C$7,IF($E215=참조!$B$8,참조!$C$8,"")))))))</f>
        <v>火</v>
      </c>
      <c r="G215" s="4" t="str">
        <f>IF($F215=참조!$C$2,참조!$D$2,IF($F215=참조!$C$8,참조!$D$2,IF(COUNTIF('2026년휴일'!$B:$B,$B215)&gt;0,참조!$D$2,참조!$D$3)))</f>
        <v>勤</v>
      </c>
      <c r="H215" s="31">
        <f>IF($G215=참조!$D$3,참조!$E$3,참조!$E$2)</f>
        <v>1000</v>
      </c>
      <c r="I215" s="31">
        <f>SUMIFS(지출기록_7월!$H$3:$H$312,지출기록_7월!$E$3:$E$312,B215,지출기록_7월!$F$3:$F$312,참조!$F$2)</f>
        <v>0</v>
      </c>
      <c r="J215" s="31">
        <f>SUMIFS(지출기록_7월!$H$3:$H$312,지출기록_7월!$E$3:$E$312,B215,지출기록_7월!$F$3:$F$312,참조!$F$3)</f>
        <v>0</v>
      </c>
      <c r="K215" s="31">
        <f t="shared" si="37"/>
        <v>0</v>
      </c>
      <c r="L215" s="31">
        <f t="shared" ca="1" si="32"/>
        <v>1000</v>
      </c>
      <c r="M215" s="31">
        <f t="shared" si="25"/>
        <v>1000</v>
      </c>
    </row>
    <row r="216" spans="2:14" x14ac:dyDescent="0.3">
      <c r="B216" s="5">
        <f t="shared" si="31"/>
        <v>46232</v>
      </c>
      <c r="C216" s="3">
        <v>7</v>
      </c>
      <c r="D216" s="3">
        <v>29</v>
      </c>
      <c r="E216" s="3">
        <f t="shared" si="30"/>
        <v>4</v>
      </c>
      <c r="F216" s="4" t="str">
        <f>IF($E216=참조!$B$2,참조!$C$2,IF($E216=참조!$B$3,참조!$C$3,IF($E216=참조!$B$4,참조!$C$4,IF($E216=참조!$B$5,참조!$C$5,IF($E216=참조!$B$6,참조!$C$6,IF($E216=참조!$B$7,참조!$C$7,IF($E216=참조!$B$8,참조!$C$8,"")))))))</f>
        <v>水</v>
      </c>
      <c r="G216" s="4" t="str">
        <f>IF($F216=참조!$C$2,참조!$D$2,IF($F216=참조!$C$8,참조!$D$2,IF(COUNTIF('2026년휴일'!$B:$B,$B216)&gt;0,참조!$D$2,참조!$D$3)))</f>
        <v>勤</v>
      </c>
      <c r="H216" s="31">
        <f>IF($G216=참조!$D$3,참조!$E$3,참조!$E$2)</f>
        <v>1000</v>
      </c>
      <c r="I216" s="31">
        <f>SUMIFS(지출기록_7월!$H$3:$H$312,지출기록_7월!$E$3:$E$312,B216,지출기록_7월!$F$3:$F$312,참조!$F$2)</f>
        <v>0</v>
      </c>
      <c r="J216" s="31">
        <f>SUMIFS(지출기록_7월!$H$3:$H$312,지출기록_7월!$E$3:$E$312,B216,지출기록_7월!$F$3:$F$312,참조!$F$3)</f>
        <v>0</v>
      </c>
      <c r="K216" s="31">
        <f t="shared" ref="K216:K219" si="38">I216-J216</f>
        <v>0</v>
      </c>
      <c r="L216" s="31">
        <f t="shared" ca="1" si="32"/>
        <v>1000</v>
      </c>
      <c r="M216" s="31">
        <f t="shared" si="25"/>
        <v>1000</v>
      </c>
    </row>
    <row r="217" spans="2:14" x14ac:dyDescent="0.3">
      <c r="B217" s="5">
        <f t="shared" si="31"/>
        <v>46233</v>
      </c>
      <c r="C217" s="3">
        <v>7</v>
      </c>
      <c r="D217" s="3">
        <v>30</v>
      </c>
      <c r="E217" s="3">
        <f t="shared" si="30"/>
        <v>5</v>
      </c>
      <c r="F217" s="4" t="str">
        <f>IF($E217=참조!$B$2,참조!$C$2,IF($E217=참조!$B$3,참조!$C$3,IF($E217=참조!$B$4,참조!$C$4,IF($E217=참조!$B$5,참조!$C$5,IF($E217=참조!$B$6,참조!$C$6,IF($E217=참조!$B$7,참조!$C$7,IF($E217=참조!$B$8,참조!$C$8,"")))))))</f>
        <v>木</v>
      </c>
      <c r="G217" s="4" t="str">
        <f>IF($F217=참조!$C$2,참조!$D$2,IF($F217=참조!$C$8,참조!$D$2,IF(COUNTIF('2026년휴일'!$B:$B,$B217)&gt;0,참조!$D$2,참조!$D$3)))</f>
        <v>勤</v>
      </c>
      <c r="H217" s="31">
        <f>IF($G217=참조!$D$3,참조!$E$3,참조!$E$2)</f>
        <v>1000</v>
      </c>
      <c r="I217" s="31">
        <f>SUMIFS(지출기록_7월!$H$3:$H$312,지출기록_7월!$E$3:$E$312,B217,지출기록_7월!$F$3:$F$312,참조!$F$2)</f>
        <v>0</v>
      </c>
      <c r="J217" s="31">
        <f>SUMIFS(지출기록_7월!$H$3:$H$312,지출기록_7월!$E$3:$E$312,B217,지출기록_7월!$F$3:$F$312,참조!$F$3)</f>
        <v>0</v>
      </c>
      <c r="K217" s="31">
        <f t="shared" si="38"/>
        <v>0</v>
      </c>
      <c r="L217" s="31">
        <f t="shared" ca="1" si="32"/>
        <v>1000</v>
      </c>
      <c r="M217" s="31">
        <f t="shared" si="25"/>
        <v>1000</v>
      </c>
    </row>
    <row r="218" spans="2:14" x14ac:dyDescent="0.3">
      <c r="B218" s="5">
        <f t="shared" si="31"/>
        <v>46234</v>
      </c>
      <c r="C218" s="3">
        <v>7</v>
      </c>
      <c r="D218" s="3">
        <v>31</v>
      </c>
      <c r="E218" s="3">
        <f t="shared" si="30"/>
        <v>6</v>
      </c>
      <c r="F218" s="4" t="str">
        <f>IF($E218=참조!$B$2,참조!$C$2,IF($E218=참조!$B$3,참조!$C$3,IF($E218=참조!$B$4,참조!$C$4,IF($E218=참조!$B$5,참조!$C$5,IF($E218=참조!$B$6,참조!$C$6,IF($E218=참조!$B$7,참조!$C$7,IF($E218=참조!$B$8,참조!$C$8,"")))))))</f>
        <v>金</v>
      </c>
      <c r="G218" s="4" t="str">
        <f>IF($F218=참조!$C$2,참조!$D$2,IF($F218=참조!$C$8,참조!$D$2,IF(COUNTIF('2026년휴일'!$B:$B,$B218)&gt;0,참조!$D$2,참조!$D$3)))</f>
        <v>勤</v>
      </c>
      <c r="H218" s="31">
        <f>IF($G218=참조!$D$3,참조!$E$3,참조!$E$2)</f>
        <v>1000</v>
      </c>
      <c r="I218" s="31">
        <f>SUMIFS(지출기록_7월!$H$3:$H$312,지출기록_7월!$E$3:$E$312,B218,지출기록_7월!$F$3:$F$312,참조!$F$2)</f>
        <v>0</v>
      </c>
      <c r="J218" s="31">
        <f>SUMIFS(지출기록_7월!$H$3:$H$312,지출기록_7월!$E$3:$E$312,B218,지출기록_7월!$F$3:$F$312,참조!$F$3)</f>
        <v>0</v>
      </c>
      <c r="K218" s="31">
        <f t="shared" si="38"/>
        <v>0</v>
      </c>
      <c r="L218" s="31">
        <f t="shared" ca="1" si="32"/>
        <v>1000</v>
      </c>
      <c r="M218" s="31">
        <f t="shared" si="25"/>
        <v>1000</v>
      </c>
    </row>
    <row r="219" spans="2:14" x14ac:dyDescent="0.3">
      <c r="B219" s="5">
        <f t="shared" si="31"/>
        <v>46235</v>
      </c>
      <c r="C219" s="3">
        <v>8</v>
      </c>
      <c r="D219" s="3">
        <v>1</v>
      </c>
      <c r="E219" s="3">
        <f t="shared" si="30"/>
        <v>7</v>
      </c>
      <c r="F219" s="4" t="str">
        <f>IF($E219=참조!$B$2,참조!$C$2,IF($E219=참조!$B$3,참조!$C$3,IF($E219=참조!$B$4,참조!$C$4,IF($E219=참조!$B$5,참조!$C$5,IF($E219=참조!$B$6,참조!$C$6,IF($E219=참조!$B$7,참조!$C$7,IF($E219=참조!$B$8,참조!$C$8,"")))))))</f>
        <v>土</v>
      </c>
      <c r="G219" s="4" t="str">
        <f>IF($F219=참조!$C$2,참조!$D$2,IF($F219=참조!$C$8,참조!$D$2,IF(COUNTIF('2026년휴일'!$B:$B,$B219)&gt;0,참조!$D$2,참조!$D$3)))</f>
        <v>休</v>
      </c>
      <c r="H219" s="31">
        <f>IF($G219=참조!$D$3,참조!$E$3,참조!$E$2)</f>
        <v>5000</v>
      </c>
      <c r="I219" s="31">
        <f>SUMIFS(지출기록_8월!$H$3:$H$314,지출기록_8월!$E$3:$E$314,B219,지출기록_8월!$F$3:$F$314,참조!$F$2)</f>
        <v>0</v>
      </c>
      <c r="J219" s="31">
        <f>SUMIFS(지출기록_8월!$H$3:$H$314,지출기록_8월!$E$3:$E$314,B219,지출기록_8월!$F$3:$F$314,참조!$F$3)</f>
        <v>0</v>
      </c>
      <c r="K219" s="31">
        <f t="shared" si="38"/>
        <v>0</v>
      </c>
      <c r="L219" s="31">
        <f t="shared" ca="1" si="32"/>
        <v>5000</v>
      </c>
      <c r="M219" s="31">
        <f t="shared" si="25"/>
        <v>5000</v>
      </c>
    </row>
    <row r="220" spans="2:14" x14ac:dyDescent="0.3">
      <c r="B220" s="5">
        <f t="shared" si="31"/>
        <v>46236</v>
      </c>
      <c r="C220" s="3">
        <v>8</v>
      </c>
      <c r="D220" s="3">
        <v>2</v>
      </c>
      <c r="E220" s="3">
        <f t="shared" si="30"/>
        <v>1</v>
      </c>
      <c r="F220" s="4" t="str">
        <f>IF($E220=참조!$B$2,참조!$C$2,IF($E220=참조!$B$3,참조!$C$3,IF($E220=참조!$B$4,참조!$C$4,IF($E220=참조!$B$5,참조!$C$5,IF($E220=참조!$B$6,참조!$C$6,IF($E220=참조!$B$7,참조!$C$7,IF($E220=참조!$B$8,참조!$C$8,"")))))))</f>
        <v>日</v>
      </c>
      <c r="G220" s="4" t="str">
        <f>IF($F220=참조!$C$2,참조!$D$2,IF($F220=참조!$C$8,참조!$D$2,IF(COUNTIF('2026년휴일'!$B:$B,$B220)&gt;0,참조!$D$2,참조!$D$3)))</f>
        <v>休</v>
      </c>
      <c r="H220" s="31">
        <f>IF($G220=참조!$D$3,참조!$E$3,참조!$E$2)</f>
        <v>5000</v>
      </c>
      <c r="I220" s="31">
        <f>SUMIFS(지출기록_8월!$H$3:$H$314,지출기록_8월!$E$3:$E$314,B220,지출기록_8월!$F$3:$F$314,참조!$F$2)</f>
        <v>0</v>
      </c>
      <c r="J220" s="31">
        <f>SUMIFS(지출기록_8월!$H$3:$H$314,지출기록_8월!$E$3:$E$314,B220,지출기록_8월!$F$3:$F$314,참조!$F$3)</f>
        <v>0</v>
      </c>
      <c r="K220" s="31">
        <f t="shared" ref="K220:K224" si="39">I220-J220</f>
        <v>0</v>
      </c>
      <c r="L220" s="31">
        <f t="shared" ca="1" si="32"/>
        <v>5000</v>
      </c>
      <c r="M220" s="31">
        <f t="shared" si="25"/>
        <v>5000</v>
      </c>
    </row>
    <row r="221" spans="2:14" x14ac:dyDescent="0.3">
      <c r="B221" s="5">
        <f t="shared" si="31"/>
        <v>46237</v>
      </c>
      <c r="C221" s="3">
        <v>8</v>
      </c>
      <c r="D221" s="3">
        <v>3</v>
      </c>
      <c r="E221" s="3">
        <f t="shared" si="30"/>
        <v>2</v>
      </c>
      <c r="F221" s="4" t="str">
        <f>IF($E221=참조!$B$2,참조!$C$2,IF($E221=참조!$B$3,참조!$C$3,IF($E221=참조!$B$4,참조!$C$4,IF($E221=참조!$B$5,참조!$C$5,IF($E221=참조!$B$6,참조!$C$6,IF($E221=참조!$B$7,참조!$C$7,IF($E221=참조!$B$8,참조!$C$8,"")))))))</f>
        <v>月</v>
      </c>
      <c r="G221" s="4" t="str">
        <f>IF($F221=참조!$C$2,참조!$D$2,IF($F221=참조!$C$8,참조!$D$2,IF(COUNTIF('2026년휴일'!$B:$B,$B221)&gt;0,참조!$D$2,참조!$D$3)))</f>
        <v>勤</v>
      </c>
      <c r="H221" s="31">
        <f>IF($G221=참조!$D$3,참조!$E$3,참조!$E$2)</f>
        <v>1000</v>
      </c>
      <c r="I221" s="31">
        <f>SUMIFS(지출기록_8월!$H$3:$H$314,지출기록_8월!$E$3:$E$314,B221,지출기록_8월!$F$3:$F$314,참조!$F$2)</f>
        <v>0</v>
      </c>
      <c r="J221" s="31">
        <f>SUMIFS(지출기록_8월!$H$3:$H$314,지출기록_8월!$E$3:$E$314,B221,지출기록_8월!$F$3:$F$314,참조!$F$3)</f>
        <v>0</v>
      </c>
      <c r="K221" s="31">
        <f t="shared" si="39"/>
        <v>0</v>
      </c>
      <c r="L221" s="31">
        <f t="shared" ca="1" si="32"/>
        <v>1000</v>
      </c>
      <c r="M221" s="31">
        <f t="shared" si="25"/>
        <v>1000</v>
      </c>
      <c r="N221" s="3">
        <f>SUM(K215:K221)</f>
        <v>0</v>
      </c>
    </row>
    <row r="222" spans="2:14" x14ac:dyDescent="0.3">
      <c r="B222" s="5">
        <f t="shared" si="31"/>
        <v>46238</v>
      </c>
      <c r="C222" s="3">
        <v>8</v>
      </c>
      <c r="D222" s="3">
        <v>4</v>
      </c>
      <c r="E222" s="3">
        <f t="shared" si="30"/>
        <v>3</v>
      </c>
      <c r="F222" s="4" t="str">
        <f>IF($E222=참조!$B$2,참조!$C$2,IF($E222=참조!$B$3,참조!$C$3,IF($E222=참조!$B$4,참조!$C$4,IF($E222=참조!$B$5,참조!$C$5,IF($E222=참조!$B$6,참조!$C$6,IF($E222=참조!$B$7,참조!$C$7,IF($E222=참조!$B$8,참조!$C$8,"")))))))</f>
        <v>火</v>
      </c>
      <c r="G222" s="4" t="str">
        <f>IF($F222=참조!$C$2,참조!$D$2,IF($F222=참조!$C$8,참조!$D$2,IF(COUNTIF('2026년휴일'!$B:$B,$B222)&gt;0,참조!$D$2,참조!$D$3)))</f>
        <v>勤</v>
      </c>
      <c r="H222" s="31">
        <f>IF($G222=참조!$D$3,참조!$E$3,참조!$E$2)</f>
        <v>1000</v>
      </c>
      <c r="I222" s="31">
        <f>SUMIFS(지출기록_8월!$H$3:$H$314,지출기록_8월!$E$3:$E$314,B222,지출기록_8월!$F$3:$F$314,참조!$F$2)</f>
        <v>0</v>
      </c>
      <c r="J222" s="31">
        <f>SUMIFS(지출기록_8월!$H$3:$H$314,지출기록_8월!$E$3:$E$314,B222,지출기록_8월!$F$3:$F$314,참조!$F$3)</f>
        <v>0</v>
      </c>
      <c r="K222" s="31">
        <f t="shared" si="39"/>
        <v>0</v>
      </c>
      <c r="L222" s="31">
        <f t="shared" ca="1" si="32"/>
        <v>1000</v>
      </c>
      <c r="M222" s="31">
        <f t="shared" si="25"/>
        <v>1000</v>
      </c>
    </row>
    <row r="223" spans="2:14" x14ac:dyDescent="0.3">
      <c r="B223" s="5">
        <f t="shared" si="31"/>
        <v>46239</v>
      </c>
      <c r="C223" s="3">
        <v>8</v>
      </c>
      <c r="D223" s="3">
        <v>5</v>
      </c>
      <c r="E223" s="3">
        <f t="shared" si="30"/>
        <v>4</v>
      </c>
      <c r="F223" s="4" t="str">
        <f>IF($E223=참조!$B$2,참조!$C$2,IF($E223=참조!$B$3,참조!$C$3,IF($E223=참조!$B$4,참조!$C$4,IF($E223=참조!$B$5,참조!$C$5,IF($E223=참조!$B$6,참조!$C$6,IF($E223=참조!$B$7,참조!$C$7,IF($E223=참조!$B$8,참조!$C$8,"")))))))</f>
        <v>水</v>
      </c>
      <c r="G223" s="4" t="str">
        <f>IF($F223=참조!$C$2,참조!$D$2,IF($F223=참조!$C$8,참조!$D$2,IF(COUNTIF('2026년휴일'!$B:$B,$B223)&gt;0,참조!$D$2,참조!$D$3)))</f>
        <v>勤</v>
      </c>
      <c r="H223" s="31">
        <f>IF($G223=참조!$D$3,참조!$E$3,참조!$E$2)</f>
        <v>1000</v>
      </c>
      <c r="I223" s="31">
        <f>SUMIFS(지출기록_8월!$H$3:$H$314,지출기록_8월!$E$3:$E$314,B223,지출기록_8월!$F$3:$F$314,참조!$F$2)</f>
        <v>0</v>
      </c>
      <c r="J223" s="31">
        <f>SUMIFS(지출기록_8월!$H$3:$H$314,지출기록_8월!$E$3:$E$314,B223,지출기록_8월!$F$3:$F$314,참조!$F$3)</f>
        <v>0</v>
      </c>
      <c r="K223" s="31">
        <f t="shared" si="39"/>
        <v>0</v>
      </c>
      <c r="L223" s="31">
        <f t="shared" ca="1" si="32"/>
        <v>1000</v>
      </c>
      <c r="M223" s="31">
        <f t="shared" si="25"/>
        <v>1000</v>
      </c>
    </row>
    <row r="224" spans="2:14" x14ac:dyDescent="0.3">
      <c r="B224" s="5">
        <f t="shared" si="31"/>
        <v>46240</v>
      </c>
      <c r="C224" s="3">
        <v>8</v>
      </c>
      <c r="D224" s="3">
        <v>6</v>
      </c>
      <c r="E224" s="3">
        <f t="shared" si="30"/>
        <v>5</v>
      </c>
      <c r="F224" s="4" t="str">
        <f>IF($E224=참조!$B$2,참조!$C$2,IF($E224=참조!$B$3,참조!$C$3,IF($E224=참조!$B$4,참조!$C$4,IF($E224=참조!$B$5,참조!$C$5,IF($E224=참조!$B$6,참조!$C$6,IF($E224=참조!$B$7,참조!$C$7,IF($E224=참조!$B$8,참조!$C$8,"")))))))</f>
        <v>木</v>
      </c>
      <c r="G224" s="4" t="str">
        <f>IF($F224=참조!$C$2,참조!$D$2,IF($F224=참조!$C$8,참조!$D$2,IF(COUNTIF('2026년휴일'!$B:$B,$B224)&gt;0,참조!$D$2,참조!$D$3)))</f>
        <v>勤</v>
      </c>
      <c r="H224" s="31">
        <f>IF($G224=참조!$D$3,참조!$E$3,참조!$E$2)</f>
        <v>1000</v>
      </c>
      <c r="I224" s="31">
        <f>SUMIFS(지출기록_8월!$H$3:$H$314,지출기록_8월!$E$3:$E$314,B224,지출기록_8월!$F$3:$F$314,참조!$F$2)</f>
        <v>0</v>
      </c>
      <c r="J224" s="31">
        <f>SUMIFS(지출기록_8월!$H$3:$H$314,지출기록_8월!$E$3:$E$314,B224,지출기록_8월!$F$3:$F$314,참조!$F$3)</f>
        <v>0</v>
      </c>
      <c r="K224" s="31">
        <f t="shared" si="39"/>
        <v>0</v>
      </c>
      <c r="L224" s="31">
        <f t="shared" ca="1" si="32"/>
        <v>1000</v>
      </c>
      <c r="M224" s="31">
        <f t="shared" si="25"/>
        <v>1000</v>
      </c>
    </row>
    <row r="225" spans="2:14" x14ac:dyDescent="0.3">
      <c r="B225" s="5">
        <f t="shared" si="31"/>
        <v>46241</v>
      </c>
      <c r="C225" s="3">
        <v>8</v>
      </c>
      <c r="D225" s="3">
        <v>7</v>
      </c>
      <c r="E225" s="3">
        <f t="shared" si="30"/>
        <v>6</v>
      </c>
      <c r="F225" s="4" t="str">
        <f>IF($E225=참조!$B$2,참조!$C$2,IF($E225=참조!$B$3,참조!$C$3,IF($E225=참조!$B$4,참조!$C$4,IF($E225=참조!$B$5,참조!$C$5,IF($E225=참조!$B$6,참조!$C$6,IF($E225=참조!$B$7,참조!$C$7,IF($E225=참조!$B$8,참조!$C$8,"")))))))</f>
        <v>金</v>
      </c>
      <c r="G225" s="4" t="str">
        <f>IF($F225=참조!$C$2,참조!$D$2,IF($F225=참조!$C$8,참조!$D$2,IF(COUNTIF('2026년휴일'!$B:$B,$B225)&gt;0,참조!$D$2,참조!$D$3)))</f>
        <v>勤</v>
      </c>
      <c r="H225" s="31">
        <f>IF($G225=참조!$D$3,참조!$E$3,참조!$E$2)</f>
        <v>1000</v>
      </c>
      <c r="I225" s="31">
        <f>SUMIFS(지출기록_8월!$H$3:$H$314,지출기록_8월!$E$3:$E$314,B225,지출기록_8월!$F$3:$F$314,참조!$F$2)</f>
        <v>0</v>
      </c>
      <c r="J225" s="31">
        <f>SUMIFS(지출기록_8월!$H$3:$H$314,지출기록_8월!$E$3:$E$314,B225,지출기록_8월!$F$3:$F$314,참조!$F$3)</f>
        <v>0</v>
      </c>
      <c r="K225" s="31">
        <f t="shared" ref="K225:K226" si="40">I225-J225</f>
        <v>0</v>
      </c>
      <c r="L225" s="31">
        <f t="shared" ca="1" si="32"/>
        <v>1000</v>
      </c>
      <c r="M225" s="31">
        <f t="shared" si="25"/>
        <v>1000</v>
      </c>
    </row>
    <row r="226" spans="2:14" x14ac:dyDescent="0.3">
      <c r="B226" s="5">
        <f t="shared" si="31"/>
        <v>46242</v>
      </c>
      <c r="C226" s="3">
        <v>8</v>
      </c>
      <c r="D226" s="3">
        <v>8</v>
      </c>
      <c r="E226" s="3">
        <f t="shared" si="30"/>
        <v>7</v>
      </c>
      <c r="F226" s="4" t="str">
        <f>IF($E226=참조!$B$2,참조!$C$2,IF($E226=참조!$B$3,참조!$C$3,IF($E226=참조!$B$4,참조!$C$4,IF($E226=참조!$B$5,참조!$C$5,IF($E226=참조!$B$6,참조!$C$6,IF($E226=참조!$B$7,참조!$C$7,IF($E226=참조!$B$8,참조!$C$8,"")))))))</f>
        <v>土</v>
      </c>
      <c r="G226" s="4" t="str">
        <f>IF($F226=참조!$C$2,참조!$D$2,IF($F226=참조!$C$8,참조!$D$2,IF(COUNTIF('2026년휴일'!$B:$B,$B226)&gt;0,참조!$D$2,참조!$D$3)))</f>
        <v>休</v>
      </c>
      <c r="H226" s="31">
        <f>IF($G226=참조!$D$3,참조!$E$3,참조!$E$2)</f>
        <v>5000</v>
      </c>
      <c r="I226" s="31">
        <f>SUMIFS(지출기록_8월!$H$3:$H$314,지출기록_8월!$E$3:$E$314,B226,지출기록_8월!$F$3:$F$314,참조!$F$2)</f>
        <v>0</v>
      </c>
      <c r="J226" s="31">
        <f>SUMIFS(지출기록_8월!$H$3:$H$314,지출기록_8월!$E$3:$E$314,B226,지출기록_8월!$F$3:$F$314,참조!$F$3)</f>
        <v>0</v>
      </c>
      <c r="K226" s="31">
        <f t="shared" si="40"/>
        <v>0</v>
      </c>
      <c r="L226" s="31">
        <f t="shared" ca="1" si="32"/>
        <v>5000</v>
      </c>
      <c r="M226" s="31">
        <f t="shared" si="25"/>
        <v>5000</v>
      </c>
    </row>
    <row r="227" spans="2:14" x14ac:dyDescent="0.3">
      <c r="B227" s="5">
        <f t="shared" si="31"/>
        <v>46243</v>
      </c>
      <c r="C227" s="3">
        <v>8</v>
      </c>
      <c r="D227" s="3">
        <v>9</v>
      </c>
      <c r="E227" s="3">
        <f t="shared" si="30"/>
        <v>1</v>
      </c>
      <c r="F227" s="4" t="str">
        <f>IF($E227=참조!$B$2,참조!$C$2,IF($E227=참조!$B$3,참조!$C$3,IF($E227=참조!$B$4,참조!$C$4,IF($E227=참조!$B$5,참조!$C$5,IF($E227=참조!$B$6,참조!$C$6,IF($E227=참조!$B$7,참조!$C$7,IF($E227=참조!$B$8,참조!$C$8,"")))))))</f>
        <v>日</v>
      </c>
      <c r="G227" s="4" t="str">
        <f>IF($F227=참조!$C$2,참조!$D$2,IF($F227=참조!$C$8,참조!$D$2,IF(COUNTIF('2026년휴일'!$B:$B,$B227)&gt;0,참조!$D$2,참조!$D$3)))</f>
        <v>休</v>
      </c>
      <c r="H227" s="31">
        <f>IF($G227=참조!$D$3,참조!$E$3,참조!$E$2)</f>
        <v>5000</v>
      </c>
      <c r="I227" s="31">
        <f>SUMIFS(지출기록_8월!$H$3:$H$314,지출기록_8월!$E$3:$E$314,B227,지출기록_8월!$F$3:$F$314,참조!$F$2)</f>
        <v>0</v>
      </c>
      <c r="J227" s="31">
        <f>SUMIFS(지출기록_8월!$H$3:$H$314,지출기록_8월!$E$3:$E$314,B227,지출기록_8월!$F$3:$F$314,참조!$F$3)</f>
        <v>0</v>
      </c>
      <c r="K227" s="31">
        <f t="shared" ref="K227:K229" si="41">I227-J227</f>
        <v>0</v>
      </c>
      <c r="L227" s="31">
        <f t="shared" ca="1" si="32"/>
        <v>5000</v>
      </c>
      <c r="M227" s="31">
        <f t="shared" si="25"/>
        <v>5000</v>
      </c>
    </row>
    <row r="228" spans="2:14" x14ac:dyDescent="0.3">
      <c r="B228" s="5">
        <f t="shared" si="31"/>
        <v>46244</v>
      </c>
      <c r="C228" s="3">
        <v>8</v>
      </c>
      <c r="D228" s="3">
        <v>10</v>
      </c>
      <c r="E228" s="3">
        <f t="shared" si="30"/>
        <v>2</v>
      </c>
      <c r="F228" s="4" t="str">
        <f>IF($E228=참조!$B$2,참조!$C$2,IF($E228=참조!$B$3,참조!$C$3,IF($E228=참조!$B$4,참조!$C$4,IF($E228=참조!$B$5,참조!$C$5,IF($E228=참조!$B$6,참조!$C$6,IF($E228=참조!$B$7,참조!$C$7,IF($E228=참조!$B$8,참조!$C$8,"")))))))</f>
        <v>月</v>
      </c>
      <c r="G228" s="4" t="str">
        <f>IF($F228=참조!$C$2,참조!$D$2,IF($F228=참조!$C$8,참조!$D$2,IF(COUNTIF('2026년휴일'!$B:$B,$B228)&gt;0,참조!$D$2,참조!$D$3)))</f>
        <v>勤</v>
      </c>
      <c r="H228" s="31">
        <f>IF($G228=참조!$D$3,참조!$E$3,참조!$E$2)</f>
        <v>1000</v>
      </c>
      <c r="I228" s="31">
        <f>SUMIFS(지출기록_8월!$H$3:$H$314,지출기록_8월!$E$3:$E$314,B228,지출기록_8월!$F$3:$F$314,참조!$F$2)</f>
        <v>0</v>
      </c>
      <c r="J228" s="31">
        <f>SUMIFS(지출기록_8월!$H$3:$H$314,지출기록_8월!$E$3:$E$314,B228,지출기록_8월!$F$3:$F$314,참조!$F$3)</f>
        <v>0</v>
      </c>
      <c r="K228" s="31">
        <f t="shared" si="41"/>
        <v>0</v>
      </c>
      <c r="L228" s="31">
        <f t="shared" ca="1" si="32"/>
        <v>1000</v>
      </c>
      <c r="M228" s="31">
        <f t="shared" si="25"/>
        <v>1000</v>
      </c>
      <c r="N228" s="3">
        <f>SUM(K222:K228)</f>
        <v>0</v>
      </c>
    </row>
    <row r="229" spans="2:14" x14ac:dyDescent="0.3">
      <c r="B229" s="5">
        <f t="shared" si="31"/>
        <v>46245</v>
      </c>
      <c r="C229" s="3">
        <v>8</v>
      </c>
      <c r="D229" s="3">
        <v>11</v>
      </c>
      <c r="E229" s="3">
        <f t="shared" si="30"/>
        <v>3</v>
      </c>
      <c r="F229" s="4" t="str">
        <f>IF($E229=참조!$B$2,참조!$C$2,IF($E229=참조!$B$3,참조!$C$3,IF($E229=참조!$B$4,참조!$C$4,IF($E229=참조!$B$5,참조!$C$5,IF($E229=참조!$B$6,참조!$C$6,IF($E229=참조!$B$7,참조!$C$7,IF($E229=참조!$B$8,참조!$C$8,"")))))))</f>
        <v>火</v>
      </c>
      <c r="G229" s="4" t="str">
        <f>IF($F229=참조!$C$2,참조!$D$2,IF($F229=참조!$C$8,참조!$D$2,IF(COUNTIF('2026년휴일'!$B:$B,$B229)&gt;0,참조!$D$2,참조!$D$3)))</f>
        <v>休</v>
      </c>
      <c r="H229" s="31">
        <f>IF($G229=참조!$D$3,참조!$E$3,참조!$E$2)</f>
        <v>5000</v>
      </c>
      <c r="I229" s="31">
        <f>SUMIFS(지출기록_8월!$H$3:$H$314,지출기록_8월!$E$3:$E$314,B229,지출기록_8월!$F$3:$F$314,참조!$F$2)</f>
        <v>0</v>
      </c>
      <c r="J229" s="31">
        <f>SUMIFS(지출기록_8월!$H$3:$H$314,지출기록_8월!$E$3:$E$314,B229,지출기록_8월!$F$3:$F$314,참조!$F$3)</f>
        <v>0</v>
      </c>
      <c r="K229" s="31">
        <f t="shared" si="41"/>
        <v>0</v>
      </c>
      <c r="L229" s="31">
        <f t="shared" ca="1" si="32"/>
        <v>5000</v>
      </c>
      <c r="M229" s="31">
        <f t="shared" si="25"/>
        <v>5000</v>
      </c>
    </row>
    <row r="230" spans="2:14" x14ac:dyDescent="0.3">
      <c r="B230" s="5">
        <f t="shared" si="31"/>
        <v>46246</v>
      </c>
      <c r="C230" s="3">
        <v>8</v>
      </c>
      <c r="D230" s="3">
        <v>12</v>
      </c>
      <c r="E230" s="3">
        <f t="shared" si="30"/>
        <v>4</v>
      </c>
      <c r="F230" s="4" t="str">
        <f>IF($E230=참조!$B$2,참조!$C$2,IF($E230=참조!$B$3,참조!$C$3,IF($E230=참조!$B$4,참조!$C$4,IF($E230=참조!$B$5,참조!$C$5,IF($E230=참조!$B$6,참조!$C$6,IF($E230=참조!$B$7,참조!$C$7,IF($E230=참조!$B$8,참조!$C$8,"")))))))</f>
        <v>水</v>
      </c>
      <c r="G230" s="4" t="str">
        <f>IF($F230=참조!$C$2,참조!$D$2,IF($F230=참조!$C$8,참조!$D$2,IF(COUNTIF('2026년휴일'!$B:$B,$B230)&gt;0,참조!$D$2,참조!$D$3)))</f>
        <v>勤</v>
      </c>
      <c r="H230" s="31">
        <f>IF($G230=참조!$D$3,참조!$E$3,참조!$E$2)</f>
        <v>1000</v>
      </c>
      <c r="I230" s="31">
        <f>SUMIFS(지출기록_8월!$H$3:$H$314,지출기록_8월!$E$3:$E$314,B230,지출기록_8월!$F$3:$F$314,참조!$F$2)</f>
        <v>0</v>
      </c>
      <c r="J230" s="31">
        <f>SUMIFS(지출기록_8월!$H$3:$H$314,지출기록_8월!$E$3:$E$314,B230,지출기록_8월!$F$3:$F$314,참조!$F$3)</f>
        <v>0</v>
      </c>
      <c r="K230" s="31">
        <f t="shared" ref="K230:K237" si="42">I230-J230</f>
        <v>0</v>
      </c>
      <c r="L230" s="31">
        <f t="shared" ca="1" si="32"/>
        <v>1000</v>
      </c>
      <c r="M230" s="31">
        <f t="shared" si="25"/>
        <v>1000</v>
      </c>
    </row>
    <row r="231" spans="2:14" x14ac:dyDescent="0.3">
      <c r="B231" s="5">
        <f t="shared" si="31"/>
        <v>46247</v>
      </c>
      <c r="C231" s="3">
        <v>8</v>
      </c>
      <c r="D231" s="3">
        <v>13</v>
      </c>
      <c r="E231" s="3">
        <f t="shared" si="30"/>
        <v>5</v>
      </c>
      <c r="F231" s="4" t="str">
        <f>IF($E231=참조!$B$2,참조!$C$2,IF($E231=참조!$B$3,참조!$C$3,IF($E231=참조!$B$4,참조!$C$4,IF($E231=참조!$B$5,참조!$C$5,IF($E231=참조!$B$6,참조!$C$6,IF($E231=참조!$B$7,참조!$C$7,IF($E231=참조!$B$8,참조!$C$8,"")))))))</f>
        <v>木</v>
      </c>
      <c r="G231" s="4" t="str">
        <f>IF($F231=참조!$C$2,참조!$D$2,IF($F231=참조!$C$8,참조!$D$2,IF(COUNTIF('2026년휴일'!$B:$B,$B231)&gt;0,참조!$D$2,참조!$D$3)))</f>
        <v>勤</v>
      </c>
      <c r="H231" s="31">
        <f>IF($G231=참조!$D$3,참조!$E$3,참조!$E$2)</f>
        <v>1000</v>
      </c>
      <c r="I231" s="31">
        <f>SUMIFS(지출기록_8월!$H$3:$H$314,지출기록_8월!$E$3:$E$314,B231,지출기록_8월!$F$3:$F$314,참조!$F$2)</f>
        <v>0</v>
      </c>
      <c r="J231" s="31">
        <f>SUMIFS(지출기록_8월!$H$3:$H$314,지출기록_8월!$E$3:$E$314,B231,지출기록_8월!$F$3:$F$314,참조!$F$3)</f>
        <v>0</v>
      </c>
      <c r="K231" s="31">
        <f t="shared" si="42"/>
        <v>0</v>
      </c>
      <c r="L231" s="31">
        <f t="shared" ca="1" si="32"/>
        <v>1000</v>
      </c>
      <c r="M231" s="31">
        <f t="shared" si="25"/>
        <v>1000</v>
      </c>
    </row>
    <row r="232" spans="2:14" x14ac:dyDescent="0.3">
      <c r="B232" s="5">
        <f t="shared" si="31"/>
        <v>46248</v>
      </c>
      <c r="C232" s="3">
        <v>8</v>
      </c>
      <c r="D232" s="3">
        <v>14</v>
      </c>
      <c r="E232" s="3">
        <f t="shared" si="30"/>
        <v>6</v>
      </c>
      <c r="F232" s="4" t="str">
        <f>IF($E232=참조!$B$2,참조!$C$2,IF($E232=참조!$B$3,참조!$C$3,IF($E232=참조!$B$4,참조!$C$4,IF($E232=참조!$B$5,참조!$C$5,IF($E232=참조!$B$6,참조!$C$6,IF($E232=참조!$B$7,참조!$C$7,IF($E232=참조!$B$8,참조!$C$8,"")))))))</f>
        <v>金</v>
      </c>
      <c r="G232" s="4" t="str">
        <f>IF($F232=참조!$C$2,참조!$D$2,IF($F232=참조!$C$8,참조!$D$2,IF(COUNTIF('2026년휴일'!$B:$B,$B232)&gt;0,참조!$D$2,참조!$D$3)))</f>
        <v>勤</v>
      </c>
      <c r="H232" s="31">
        <f>IF($G232=참조!$D$3,참조!$E$3,참조!$E$2)</f>
        <v>1000</v>
      </c>
      <c r="I232" s="31">
        <f>SUMIFS(지출기록_8월!$H$3:$H$314,지출기록_8월!$E$3:$E$314,B232,지출기록_8월!$F$3:$F$314,참조!$F$2)</f>
        <v>0</v>
      </c>
      <c r="J232" s="31">
        <f>SUMIFS(지출기록_8월!$H$3:$H$314,지출기록_8월!$E$3:$E$314,B232,지출기록_8월!$F$3:$F$314,참조!$F$3)</f>
        <v>0</v>
      </c>
      <c r="K232" s="31">
        <f t="shared" si="42"/>
        <v>0</v>
      </c>
      <c r="L232" s="31">
        <f t="shared" ca="1" si="32"/>
        <v>1000</v>
      </c>
      <c r="M232" s="31">
        <f t="shared" si="25"/>
        <v>1000</v>
      </c>
    </row>
    <row r="233" spans="2:14" x14ac:dyDescent="0.3">
      <c r="B233" s="5">
        <f t="shared" si="31"/>
        <v>46249</v>
      </c>
      <c r="C233" s="3">
        <v>8</v>
      </c>
      <c r="D233" s="3">
        <v>15</v>
      </c>
      <c r="E233" s="3">
        <f t="shared" si="30"/>
        <v>7</v>
      </c>
      <c r="F233" s="4" t="str">
        <f>IF($E233=참조!$B$2,참조!$C$2,IF($E233=참조!$B$3,참조!$C$3,IF($E233=참조!$B$4,참조!$C$4,IF($E233=참조!$B$5,참조!$C$5,IF($E233=참조!$B$6,참조!$C$6,IF($E233=참조!$B$7,참조!$C$7,IF($E233=참조!$B$8,참조!$C$8,"")))))))</f>
        <v>土</v>
      </c>
      <c r="G233" s="4" t="str">
        <f>IF($F233=참조!$C$2,참조!$D$2,IF($F233=참조!$C$8,참조!$D$2,IF(COUNTIF('2026년휴일'!$B:$B,$B233)&gt;0,참조!$D$2,참조!$D$3)))</f>
        <v>休</v>
      </c>
      <c r="H233" s="31">
        <f>IF($G233=참조!$D$3,참조!$E$3,참조!$E$2)</f>
        <v>5000</v>
      </c>
      <c r="I233" s="31">
        <f>SUMIFS(지출기록_8월!$H$3:$H$314,지출기록_8월!$E$3:$E$314,B233,지출기록_8월!$F$3:$F$314,참조!$F$2)</f>
        <v>0</v>
      </c>
      <c r="J233" s="31">
        <f>SUMIFS(지출기록_8월!$H$3:$H$314,지출기록_8월!$E$3:$E$314,B233,지출기록_8월!$F$3:$F$314,참조!$F$3)</f>
        <v>0</v>
      </c>
      <c r="K233" s="31">
        <f t="shared" si="42"/>
        <v>0</v>
      </c>
      <c r="L233" s="31">
        <f t="shared" ca="1" si="32"/>
        <v>5000</v>
      </c>
      <c r="M233" s="31">
        <f t="shared" si="25"/>
        <v>5000</v>
      </c>
    </row>
    <row r="234" spans="2:14" x14ac:dyDescent="0.3">
      <c r="B234" s="5">
        <f t="shared" si="31"/>
        <v>46250</v>
      </c>
      <c r="C234" s="3">
        <v>8</v>
      </c>
      <c r="D234" s="3">
        <v>16</v>
      </c>
      <c r="E234" s="3">
        <f t="shared" si="30"/>
        <v>1</v>
      </c>
      <c r="F234" s="4" t="str">
        <f>IF($E234=참조!$B$2,참조!$C$2,IF($E234=참조!$B$3,참조!$C$3,IF($E234=참조!$B$4,참조!$C$4,IF($E234=참조!$B$5,참조!$C$5,IF($E234=참조!$B$6,참조!$C$6,IF($E234=참조!$B$7,참조!$C$7,IF($E234=참조!$B$8,참조!$C$8,"")))))))</f>
        <v>日</v>
      </c>
      <c r="G234" s="4" t="str">
        <f>IF($F234=참조!$C$2,참조!$D$2,IF($F234=참조!$C$8,참조!$D$2,IF(COUNTIF('2026년휴일'!$B:$B,$B234)&gt;0,참조!$D$2,참조!$D$3)))</f>
        <v>休</v>
      </c>
      <c r="H234" s="31">
        <f>IF($G234=참조!$D$3,참조!$E$3,참조!$E$2)</f>
        <v>5000</v>
      </c>
      <c r="I234" s="31">
        <f>SUMIFS(지출기록_8월!$H$3:$H$314,지출기록_8월!$E$3:$E$314,B234,지출기록_8월!$F$3:$F$314,참조!$F$2)</f>
        <v>0</v>
      </c>
      <c r="J234" s="31">
        <f>SUMIFS(지출기록_8월!$H$3:$H$314,지출기록_8월!$E$3:$E$314,B234,지출기록_8월!$F$3:$F$314,참조!$F$3)</f>
        <v>0</v>
      </c>
      <c r="K234" s="31">
        <f t="shared" si="42"/>
        <v>0</v>
      </c>
      <c r="L234" s="31">
        <f t="shared" ca="1" si="32"/>
        <v>5000</v>
      </c>
      <c r="M234" s="31">
        <f t="shared" si="25"/>
        <v>5000</v>
      </c>
    </row>
    <row r="235" spans="2:14" x14ac:dyDescent="0.3">
      <c r="B235" s="5">
        <f t="shared" si="31"/>
        <v>46251</v>
      </c>
      <c r="C235" s="3">
        <v>8</v>
      </c>
      <c r="D235" s="3">
        <v>17</v>
      </c>
      <c r="E235" s="3">
        <f t="shared" si="30"/>
        <v>2</v>
      </c>
      <c r="F235" s="4" t="str">
        <f>IF($E235=참조!$B$2,참조!$C$2,IF($E235=참조!$B$3,참조!$C$3,IF($E235=참조!$B$4,참조!$C$4,IF($E235=참조!$B$5,참조!$C$5,IF($E235=참조!$B$6,참조!$C$6,IF($E235=참조!$B$7,참조!$C$7,IF($E235=참조!$B$8,참조!$C$8,"")))))))</f>
        <v>月</v>
      </c>
      <c r="G235" s="4" t="str">
        <f>IF($F235=참조!$C$2,참조!$D$2,IF($F235=참조!$C$8,참조!$D$2,IF(COUNTIF('2026년휴일'!$B:$B,$B235)&gt;0,참조!$D$2,참조!$D$3)))</f>
        <v>勤</v>
      </c>
      <c r="H235" s="31">
        <f>IF($G235=참조!$D$3,참조!$E$3,참조!$E$2)</f>
        <v>1000</v>
      </c>
      <c r="I235" s="31">
        <f>SUMIFS(지출기록_8월!$H$3:$H$314,지출기록_8월!$E$3:$E$314,B235,지출기록_8월!$F$3:$F$314,참조!$F$2)</f>
        <v>0</v>
      </c>
      <c r="J235" s="31">
        <f>SUMIFS(지출기록_8월!$H$3:$H$314,지출기록_8월!$E$3:$E$314,B235,지출기록_8월!$F$3:$F$314,참조!$F$3)</f>
        <v>0</v>
      </c>
      <c r="K235" s="31">
        <f t="shared" si="42"/>
        <v>0</v>
      </c>
      <c r="L235" s="31">
        <f t="shared" ca="1" si="32"/>
        <v>1000</v>
      </c>
      <c r="M235" s="31">
        <f t="shared" si="25"/>
        <v>1000</v>
      </c>
      <c r="N235" s="3">
        <f>SUM(K229:K235)</f>
        <v>0</v>
      </c>
    </row>
    <row r="236" spans="2:14" x14ac:dyDescent="0.3">
      <c r="B236" s="5">
        <f t="shared" si="31"/>
        <v>46252</v>
      </c>
      <c r="C236" s="3">
        <v>8</v>
      </c>
      <c r="D236" s="3">
        <v>18</v>
      </c>
      <c r="E236" s="3">
        <f t="shared" si="30"/>
        <v>3</v>
      </c>
      <c r="F236" s="4" t="str">
        <f>IF($E236=참조!$B$2,참조!$C$2,IF($E236=참조!$B$3,참조!$C$3,IF($E236=참조!$B$4,참조!$C$4,IF($E236=참조!$B$5,참조!$C$5,IF($E236=참조!$B$6,참조!$C$6,IF($E236=참조!$B$7,참조!$C$7,IF($E236=참조!$B$8,참조!$C$8,"")))))))</f>
        <v>火</v>
      </c>
      <c r="G236" s="4" t="str">
        <f>IF($F236=참조!$C$2,참조!$D$2,IF($F236=참조!$C$8,참조!$D$2,IF(COUNTIF('2026년휴일'!$B:$B,$B236)&gt;0,참조!$D$2,참조!$D$3)))</f>
        <v>勤</v>
      </c>
      <c r="H236" s="31">
        <f>IF($G236=참조!$D$3,참조!$E$3,참조!$E$2)</f>
        <v>1000</v>
      </c>
      <c r="I236" s="31">
        <f>SUMIFS(지출기록_8월!$H$3:$H$314,지출기록_8월!$E$3:$E$314,B236,지출기록_8월!$F$3:$F$314,참조!$F$2)</f>
        <v>0</v>
      </c>
      <c r="J236" s="31">
        <f>SUMIFS(지출기록_8월!$H$3:$H$314,지출기록_8월!$E$3:$E$314,B236,지출기록_8월!$F$3:$F$314,참조!$F$3)</f>
        <v>0</v>
      </c>
      <c r="K236" s="31">
        <f t="shared" si="42"/>
        <v>0</v>
      </c>
      <c r="L236" s="31">
        <f t="shared" ca="1" si="32"/>
        <v>1000</v>
      </c>
      <c r="M236" s="31">
        <f t="shared" si="25"/>
        <v>1000</v>
      </c>
    </row>
    <row r="237" spans="2:14" x14ac:dyDescent="0.3">
      <c r="B237" s="5">
        <f t="shared" si="31"/>
        <v>46253</v>
      </c>
      <c r="C237" s="3">
        <v>8</v>
      </c>
      <c r="D237" s="3">
        <v>19</v>
      </c>
      <c r="E237" s="3">
        <f t="shared" si="30"/>
        <v>4</v>
      </c>
      <c r="F237" s="4" t="str">
        <f>IF($E237=참조!$B$2,참조!$C$2,IF($E237=참조!$B$3,참조!$C$3,IF($E237=참조!$B$4,참조!$C$4,IF($E237=참조!$B$5,참조!$C$5,IF($E237=참조!$B$6,참조!$C$6,IF($E237=참조!$B$7,참조!$C$7,IF($E237=참조!$B$8,참조!$C$8,"")))))))</f>
        <v>水</v>
      </c>
      <c r="G237" s="4" t="str">
        <f>IF($F237=참조!$C$2,참조!$D$2,IF($F237=참조!$C$8,참조!$D$2,IF(COUNTIF('2026년휴일'!$B:$B,$B237)&gt;0,참조!$D$2,참조!$D$3)))</f>
        <v>勤</v>
      </c>
      <c r="H237" s="31">
        <f>IF($G237=참조!$D$3,참조!$E$3,참조!$E$2)</f>
        <v>1000</v>
      </c>
      <c r="I237" s="31">
        <f>SUMIFS(지출기록_8월!$H$3:$H$314,지출기록_8월!$E$3:$E$314,B237,지출기록_8월!$F$3:$F$314,참조!$F$2)</f>
        <v>0</v>
      </c>
      <c r="J237" s="31">
        <f>SUMIFS(지출기록_8월!$H$3:$H$314,지출기록_8월!$E$3:$E$314,B237,지출기록_8월!$F$3:$F$314,참조!$F$3)</f>
        <v>0</v>
      </c>
      <c r="K237" s="31">
        <f t="shared" si="42"/>
        <v>0</v>
      </c>
      <c r="L237" s="31">
        <f t="shared" ca="1" si="32"/>
        <v>1000</v>
      </c>
      <c r="M237" s="31">
        <f t="shared" si="25"/>
        <v>1000</v>
      </c>
      <c r="N237" s="3">
        <f>SUM(K219:K237)</f>
        <v>0</v>
      </c>
    </row>
    <row r="238" spans="2:14" x14ac:dyDescent="0.3">
      <c r="B238" s="5">
        <f t="shared" si="31"/>
        <v>46254</v>
      </c>
      <c r="C238" s="3">
        <v>8</v>
      </c>
      <c r="D238" s="3">
        <v>20</v>
      </c>
      <c r="E238" s="3">
        <f t="shared" si="30"/>
        <v>5</v>
      </c>
      <c r="F238" s="4" t="str">
        <f>IF($E238=참조!$B$2,참조!$C$2,IF($E238=참조!$B$3,참조!$C$3,IF($E238=참조!$B$4,참조!$C$4,IF($E238=참조!$B$5,참조!$C$5,IF($E238=참조!$B$6,참조!$C$6,IF($E238=참조!$B$7,참조!$C$7,IF($E238=참조!$B$8,참조!$C$8,"")))))))</f>
        <v>木</v>
      </c>
      <c r="G238" s="4" t="str">
        <f>IF($F238=참조!$C$2,참조!$D$2,IF($F238=참조!$C$8,참조!$D$2,IF(COUNTIF('2026년휴일'!$B:$B,$B238)&gt;0,참조!$D$2,참조!$D$3)))</f>
        <v>勤</v>
      </c>
      <c r="H238" s="31">
        <f>IF($G238=참조!$D$3,참조!$E$3,참조!$E$2)</f>
        <v>1000</v>
      </c>
      <c r="I238" s="31">
        <f>SUMIFS(지출기록_8월!$H$3:$H$314,지출기록_8월!$E$3:$E$314,B238,지출기록_8월!$F$3:$F$314,참조!$F$2)</f>
        <v>0</v>
      </c>
      <c r="J238" s="31">
        <f>SUMIFS(지출기록_8월!$H$3:$H$314,지출기록_8월!$E$3:$E$314,B238,지출기록_8월!$F$3:$F$314,참조!$F$3)</f>
        <v>0</v>
      </c>
      <c r="K238" s="31">
        <f t="shared" ref="K238:K239" si="43">I238-J238</f>
        <v>0</v>
      </c>
      <c r="L238" s="31">
        <f t="shared" ca="1" si="32"/>
        <v>1000</v>
      </c>
      <c r="M238" s="31">
        <f t="shared" si="25"/>
        <v>1000</v>
      </c>
    </row>
    <row r="239" spans="2:14" x14ac:dyDescent="0.3">
      <c r="B239" s="5">
        <f t="shared" si="31"/>
        <v>46255</v>
      </c>
      <c r="C239" s="3">
        <v>8</v>
      </c>
      <c r="D239" s="3">
        <v>21</v>
      </c>
      <c r="E239" s="3">
        <f t="shared" si="30"/>
        <v>6</v>
      </c>
      <c r="F239" s="4" t="str">
        <f>IF($E239=참조!$B$2,참조!$C$2,IF($E239=참조!$B$3,참조!$C$3,IF($E239=참조!$B$4,참조!$C$4,IF($E239=참조!$B$5,참조!$C$5,IF($E239=참조!$B$6,참조!$C$6,IF($E239=참조!$B$7,참조!$C$7,IF($E239=참조!$B$8,참조!$C$8,"")))))))</f>
        <v>金</v>
      </c>
      <c r="G239" s="4" t="str">
        <f>IF($F239=참조!$C$2,참조!$D$2,IF($F239=참조!$C$8,참조!$D$2,IF(COUNTIF('2026년휴일'!$B:$B,$B239)&gt;0,참조!$D$2,참조!$D$3)))</f>
        <v>勤</v>
      </c>
      <c r="H239" s="31">
        <f>IF($G239=참조!$D$3,참조!$E$3,참조!$E$2)</f>
        <v>1000</v>
      </c>
      <c r="I239" s="31">
        <f>SUMIFS(지출기록_8월!$H$3:$H$314,지출기록_8월!$E$3:$E$314,B239,지출기록_8월!$F$3:$F$314,참조!$F$2)</f>
        <v>0</v>
      </c>
      <c r="J239" s="31">
        <f>SUMIFS(지출기록_8월!$H$3:$H$314,지출기록_8월!$E$3:$E$314,B239,지출기록_8월!$F$3:$F$314,참조!$F$3)</f>
        <v>0</v>
      </c>
      <c r="K239" s="31">
        <f t="shared" si="43"/>
        <v>0</v>
      </c>
      <c r="L239" s="31">
        <f t="shared" ca="1" si="32"/>
        <v>1000</v>
      </c>
      <c r="M239" s="31">
        <f t="shared" si="25"/>
        <v>1000</v>
      </c>
    </row>
    <row r="240" spans="2:14" x14ac:dyDescent="0.3">
      <c r="B240" s="5">
        <f t="shared" si="31"/>
        <v>46256</v>
      </c>
      <c r="C240" s="3">
        <v>8</v>
      </c>
      <c r="D240" s="3">
        <v>22</v>
      </c>
      <c r="E240" s="3">
        <f t="shared" si="30"/>
        <v>7</v>
      </c>
      <c r="F240" s="4" t="str">
        <f>IF($E240=참조!$B$2,참조!$C$2,IF($E240=참조!$B$3,참조!$C$3,IF($E240=참조!$B$4,참조!$C$4,IF($E240=참조!$B$5,참조!$C$5,IF($E240=참조!$B$6,참조!$C$6,IF($E240=참조!$B$7,참조!$C$7,IF($E240=참조!$B$8,참조!$C$8,"")))))))</f>
        <v>土</v>
      </c>
      <c r="G240" s="4" t="str">
        <f>IF($F240=참조!$C$2,참조!$D$2,IF($F240=참조!$C$8,참조!$D$2,IF(COUNTIF('2026년휴일'!$B:$B,$B240)&gt;0,참조!$D$2,참조!$D$3)))</f>
        <v>休</v>
      </c>
      <c r="H240" s="31">
        <f>IF($G240=참조!$D$3,참조!$E$3,참조!$E$2)</f>
        <v>5000</v>
      </c>
      <c r="I240" s="31">
        <f>SUMIFS(지출기록_8월!$H$3:$H$314,지출기록_8월!$E$3:$E$314,B240,지출기록_8월!$F$3:$F$314,참조!$F$2)</f>
        <v>0</v>
      </c>
      <c r="J240" s="31">
        <f>SUMIFS(지출기록_8월!$H$3:$H$314,지출기록_8월!$E$3:$E$314,B240,지출기록_8월!$F$3:$F$314,참조!$F$3)</f>
        <v>0</v>
      </c>
      <c r="K240" s="31">
        <f t="shared" ref="K240:K243" si="44">I240-J240</f>
        <v>0</v>
      </c>
      <c r="L240" s="31">
        <f t="shared" ca="1" si="32"/>
        <v>5000</v>
      </c>
      <c r="M240" s="31">
        <f t="shared" si="25"/>
        <v>5000</v>
      </c>
    </row>
    <row r="241" spans="2:16" x14ac:dyDescent="0.3">
      <c r="B241" s="5">
        <f t="shared" si="31"/>
        <v>46257</v>
      </c>
      <c r="C241" s="3">
        <v>8</v>
      </c>
      <c r="D241" s="3">
        <v>23</v>
      </c>
      <c r="E241" s="3">
        <f t="shared" si="30"/>
        <v>1</v>
      </c>
      <c r="F241" s="4" t="str">
        <f>IF($E241=참조!$B$2,참조!$C$2,IF($E241=참조!$B$3,참조!$C$3,IF($E241=참조!$B$4,참조!$C$4,IF($E241=참조!$B$5,참조!$C$5,IF($E241=참조!$B$6,참조!$C$6,IF($E241=참조!$B$7,참조!$C$7,IF($E241=참조!$B$8,참조!$C$8,"")))))))</f>
        <v>日</v>
      </c>
      <c r="G241" s="4" t="str">
        <f>IF($F241=참조!$C$2,참조!$D$2,IF($F241=참조!$C$8,참조!$D$2,IF(COUNTIF('2026년휴일'!$B:$B,$B241)&gt;0,참조!$D$2,참조!$D$3)))</f>
        <v>休</v>
      </c>
      <c r="H241" s="31">
        <f>IF($G241=참조!$D$3,참조!$E$3,참조!$E$2)</f>
        <v>5000</v>
      </c>
      <c r="I241" s="31">
        <f>SUMIFS(지출기록_8월!$H$3:$H$314,지출기록_8월!$E$3:$E$314,B241,지출기록_8월!$F$3:$F$314,참조!$F$2)</f>
        <v>0</v>
      </c>
      <c r="J241" s="31">
        <f>SUMIFS(지출기록_8월!$H$3:$H$314,지출기록_8월!$E$3:$E$314,B241,지출기록_8월!$F$3:$F$314,참조!$F$3)</f>
        <v>0</v>
      </c>
      <c r="K241" s="31">
        <f t="shared" si="44"/>
        <v>0</v>
      </c>
      <c r="L241" s="31">
        <f t="shared" ca="1" si="32"/>
        <v>5000</v>
      </c>
      <c r="M241" s="31">
        <f t="shared" si="25"/>
        <v>5000</v>
      </c>
    </row>
    <row r="242" spans="2:16" x14ac:dyDescent="0.3">
      <c r="B242" s="5">
        <f t="shared" si="31"/>
        <v>46258</v>
      </c>
      <c r="C242" s="3">
        <v>8</v>
      </c>
      <c r="D242" s="3">
        <v>24</v>
      </c>
      <c r="E242" s="3">
        <f t="shared" si="30"/>
        <v>2</v>
      </c>
      <c r="F242" s="4" t="str">
        <f>IF($E242=참조!$B$2,참조!$C$2,IF($E242=참조!$B$3,참조!$C$3,IF($E242=참조!$B$4,참조!$C$4,IF($E242=참조!$B$5,참조!$C$5,IF($E242=참조!$B$6,참조!$C$6,IF($E242=참조!$B$7,참조!$C$7,IF($E242=참조!$B$8,참조!$C$8,"")))))))</f>
        <v>月</v>
      </c>
      <c r="G242" s="4" t="str">
        <f>IF($F242=참조!$C$2,참조!$D$2,IF($F242=참조!$C$8,참조!$D$2,IF(COUNTIF('2026년휴일'!$B:$B,$B242)&gt;0,참조!$D$2,참조!$D$3)))</f>
        <v>勤</v>
      </c>
      <c r="H242" s="31">
        <f>IF($G242=참조!$D$3,참조!$E$3,참조!$E$2)</f>
        <v>1000</v>
      </c>
      <c r="I242" s="31">
        <f>SUMIFS(지출기록_8월!$H$3:$H$314,지출기록_8월!$E$3:$E$314,B242,지출기록_8월!$F$3:$F$314,참조!$F$2)</f>
        <v>0</v>
      </c>
      <c r="J242" s="31">
        <f>SUMIFS(지출기록_8월!$H$3:$H$314,지출기록_8월!$E$3:$E$314,B242,지출기록_8월!$F$3:$F$314,참조!$F$3)</f>
        <v>0</v>
      </c>
      <c r="K242" s="31">
        <f t="shared" si="44"/>
        <v>0</v>
      </c>
      <c r="L242" s="31">
        <f t="shared" ca="1" si="32"/>
        <v>1000</v>
      </c>
      <c r="M242" s="31">
        <f t="shared" si="25"/>
        <v>1000</v>
      </c>
      <c r="N242" s="3">
        <f>SUM(K236:K242)</f>
        <v>0</v>
      </c>
    </row>
    <row r="243" spans="2:16" x14ac:dyDescent="0.3">
      <c r="B243" s="5">
        <f t="shared" si="31"/>
        <v>46259</v>
      </c>
      <c r="C243" s="3">
        <v>8</v>
      </c>
      <c r="D243" s="3">
        <v>25</v>
      </c>
      <c r="E243" s="3">
        <f t="shared" si="30"/>
        <v>3</v>
      </c>
      <c r="F243" s="4" t="str">
        <f>IF($E243=참조!$B$2,참조!$C$2,IF($E243=참조!$B$3,참조!$C$3,IF($E243=참조!$B$4,참조!$C$4,IF($E243=참조!$B$5,참조!$C$5,IF($E243=참조!$B$6,참조!$C$6,IF($E243=참조!$B$7,참조!$C$7,IF($E243=참조!$B$8,참조!$C$8,"")))))))</f>
        <v>火</v>
      </c>
      <c r="G243" s="4" t="str">
        <f>IF($F243=참조!$C$2,참조!$D$2,IF($F243=참조!$C$8,참조!$D$2,IF(COUNTIF('2026년휴일'!$B:$B,$B243)&gt;0,참조!$D$2,참조!$D$3)))</f>
        <v>勤</v>
      </c>
      <c r="H243" s="31">
        <f>IF($G243=참조!$D$3,참조!$E$3,참조!$E$2)</f>
        <v>1000</v>
      </c>
      <c r="I243" s="31">
        <f>SUMIFS(지출기록_8월!$H$3:$H$314,지출기록_8월!$E$3:$E$314,B243,지출기록_8월!$F$3:$F$314,참조!$F$2)</f>
        <v>0</v>
      </c>
      <c r="J243" s="31">
        <f>SUMIFS(지출기록_8월!$H$3:$H$314,지출기록_8월!$E$3:$E$314,B243,지출기록_8월!$F$3:$F$314,참조!$F$3)</f>
        <v>0</v>
      </c>
      <c r="K243" s="31">
        <f t="shared" si="44"/>
        <v>0</v>
      </c>
      <c r="L243" s="31">
        <f t="shared" ca="1" si="32"/>
        <v>1000</v>
      </c>
      <c r="M243" s="31">
        <f t="shared" si="25"/>
        <v>1000</v>
      </c>
    </row>
    <row r="244" spans="2:16" x14ac:dyDescent="0.3">
      <c r="B244" s="5">
        <f t="shared" si="31"/>
        <v>46260</v>
      </c>
      <c r="C244" s="3">
        <v>8</v>
      </c>
      <c r="D244" s="3">
        <v>26</v>
      </c>
      <c r="E244" s="3">
        <f t="shared" si="30"/>
        <v>4</v>
      </c>
      <c r="F244" s="4" t="str">
        <f>IF($E244=참조!$B$2,참조!$C$2,IF($E244=참조!$B$3,참조!$C$3,IF($E244=참조!$B$4,참조!$C$4,IF($E244=참조!$B$5,참조!$C$5,IF($E244=참조!$B$6,참조!$C$6,IF($E244=참조!$B$7,참조!$C$7,IF($E244=참조!$B$8,참조!$C$8,"")))))))</f>
        <v>水</v>
      </c>
      <c r="G244" s="4" t="str">
        <f>IF($F244=참조!$C$2,참조!$D$2,IF($F244=참조!$C$8,참조!$D$2,IF(COUNTIF('2026년휴일'!$B:$B,$B244)&gt;0,참조!$D$2,참조!$D$3)))</f>
        <v>勤</v>
      </c>
      <c r="H244" s="31">
        <f>IF($G244=참조!$D$3,참조!$E$3,참조!$E$2)</f>
        <v>1000</v>
      </c>
      <c r="I244" s="31">
        <f>SUMIFS(지출기록_8월!$H$3:$H$314,지출기록_8월!$E$3:$E$314,B244,지출기록_8월!$F$3:$F$314,참조!$F$2)</f>
        <v>0</v>
      </c>
      <c r="J244" s="31">
        <f>SUMIFS(지출기록_8월!$H$3:$H$314,지출기록_8월!$E$3:$E$314,B244,지출기록_8월!$F$3:$F$314,참조!$F$3)</f>
        <v>0</v>
      </c>
      <c r="K244" s="31">
        <f t="shared" ref="K244" si="45">I244-J244</f>
        <v>0</v>
      </c>
      <c r="L244" s="31">
        <f t="shared" ca="1" si="32"/>
        <v>1000</v>
      </c>
      <c r="M244" s="31">
        <f t="shared" si="25"/>
        <v>1000</v>
      </c>
    </row>
    <row r="245" spans="2:16" x14ac:dyDescent="0.3">
      <c r="B245" s="5">
        <f t="shared" si="31"/>
        <v>46261</v>
      </c>
      <c r="C245" s="3">
        <v>8</v>
      </c>
      <c r="D245" s="3">
        <v>27</v>
      </c>
      <c r="E245" s="3">
        <f t="shared" si="30"/>
        <v>5</v>
      </c>
      <c r="F245" s="4" t="str">
        <f>IF($E245=참조!$B$2,참조!$C$2,IF($E245=참조!$B$3,참조!$C$3,IF($E245=참조!$B$4,참조!$C$4,IF($E245=참조!$B$5,참조!$C$5,IF($E245=참조!$B$6,참조!$C$6,IF($E245=참조!$B$7,참조!$C$7,IF($E245=참조!$B$8,참조!$C$8,"")))))))</f>
        <v>木</v>
      </c>
      <c r="G245" s="4" t="str">
        <f>IF($F245=참조!$C$2,참조!$D$2,IF($F245=참조!$C$8,참조!$D$2,IF(COUNTIF('2026년휴일'!$B:$B,$B245)&gt;0,참조!$D$2,참조!$D$3)))</f>
        <v>勤</v>
      </c>
      <c r="H245" s="31">
        <f>IF($G245=참조!$D$3,참조!$E$3,참조!$E$2)</f>
        <v>1000</v>
      </c>
      <c r="I245" s="31">
        <f>SUMIFS(지출기록_8월!$H$3:$H$314,지출기록_8월!$E$3:$E$314,B245,지출기록_8월!$F$3:$F$314,참조!$F$2)</f>
        <v>0</v>
      </c>
      <c r="J245" s="31">
        <f>SUMIFS(지출기록_8월!$H$3:$H$314,지출기록_8월!$E$3:$E$314,B245,지출기록_8월!$F$3:$F$314,참조!$F$3)</f>
        <v>0</v>
      </c>
      <c r="K245" s="31">
        <f t="shared" ref="K245:K246" si="46">I245-J245</f>
        <v>0</v>
      </c>
      <c r="L245" s="31">
        <f t="shared" ca="1" si="32"/>
        <v>1000</v>
      </c>
      <c r="M245" s="31">
        <f t="shared" si="25"/>
        <v>1000</v>
      </c>
    </row>
    <row r="246" spans="2:16" x14ac:dyDescent="0.3">
      <c r="B246" s="5">
        <f t="shared" si="31"/>
        <v>46262</v>
      </c>
      <c r="C246" s="3">
        <v>8</v>
      </c>
      <c r="D246" s="3">
        <v>28</v>
      </c>
      <c r="E246" s="3">
        <f t="shared" si="30"/>
        <v>6</v>
      </c>
      <c r="F246" s="4" t="str">
        <f>IF($E246=참조!$B$2,참조!$C$2,IF($E246=참조!$B$3,참조!$C$3,IF($E246=참조!$B$4,참조!$C$4,IF($E246=참조!$B$5,참조!$C$5,IF($E246=참조!$B$6,참조!$C$6,IF($E246=참조!$B$7,참조!$C$7,IF($E246=참조!$B$8,참조!$C$8,"")))))))</f>
        <v>金</v>
      </c>
      <c r="G246" s="4" t="str">
        <f>IF($F246=참조!$C$2,참조!$D$2,IF($F246=참조!$C$8,참조!$D$2,IF(COUNTIF('2026년휴일'!$B:$B,$B246)&gt;0,참조!$D$2,참조!$D$3)))</f>
        <v>勤</v>
      </c>
      <c r="H246" s="31">
        <f>IF($G246=참조!$D$3,참조!$E$3,참조!$E$2)</f>
        <v>1000</v>
      </c>
      <c r="I246" s="31">
        <f>SUMIFS(지출기록_8월!$H$3:$H$314,지출기록_8월!$E$3:$E$314,B246,지출기록_8월!$F$3:$F$314,참조!$F$2)</f>
        <v>0</v>
      </c>
      <c r="J246" s="31">
        <f>SUMIFS(지출기록_8월!$H$3:$H$314,지출기록_8월!$E$3:$E$314,B246,지출기록_8월!$F$3:$F$314,참조!$F$3)</f>
        <v>0</v>
      </c>
      <c r="K246" s="31">
        <f t="shared" si="46"/>
        <v>0</v>
      </c>
      <c r="L246" s="31">
        <f t="shared" ca="1" si="32"/>
        <v>1000</v>
      </c>
      <c r="M246" s="31">
        <f t="shared" si="25"/>
        <v>1000</v>
      </c>
    </row>
    <row r="247" spans="2:16" x14ac:dyDescent="0.3">
      <c r="B247" s="5">
        <f t="shared" si="31"/>
        <v>46263</v>
      </c>
      <c r="C247" s="3">
        <v>8</v>
      </c>
      <c r="D247" s="3">
        <v>29</v>
      </c>
      <c r="E247" s="3">
        <f t="shared" si="30"/>
        <v>7</v>
      </c>
      <c r="F247" s="4" t="str">
        <f>IF($E247=참조!$B$2,참조!$C$2,IF($E247=참조!$B$3,참조!$C$3,IF($E247=참조!$B$4,참조!$C$4,IF($E247=참조!$B$5,참조!$C$5,IF($E247=참조!$B$6,참조!$C$6,IF($E247=참조!$B$7,참조!$C$7,IF($E247=참조!$B$8,참조!$C$8,"")))))))</f>
        <v>土</v>
      </c>
      <c r="G247" s="4" t="str">
        <f>IF($F247=참조!$C$2,참조!$D$2,IF($F247=참조!$C$8,참조!$D$2,IF(COUNTIF('2026년휴일'!$B:$B,$B247)&gt;0,참조!$D$2,참조!$D$3)))</f>
        <v>休</v>
      </c>
      <c r="H247" s="31">
        <f>IF($G247=참조!$D$3,참조!$E$3,참조!$E$2)</f>
        <v>5000</v>
      </c>
      <c r="I247" s="31">
        <f>SUMIFS(지출기록_8월!$H$3:$H$314,지출기록_8월!$E$3:$E$314,B247,지출기록_8월!$F$3:$F$314,참조!$F$2)</f>
        <v>0</v>
      </c>
      <c r="J247" s="31">
        <f>SUMIFS(지출기록_8월!$H$3:$H$314,지출기록_8월!$E$3:$E$314,B247,지출기록_8월!$F$3:$F$314,참조!$F$3)</f>
        <v>0</v>
      </c>
      <c r="K247" s="31">
        <f t="shared" ref="K247:K250" si="47">I247-J247</f>
        <v>0</v>
      </c>
      <c r="L247" s="31">
        <f t="shared" ca="1" si="32"/>
        <v>5000</v>
      </c>
      <c r="M247" s="31">
        <f t="shared" si="25"/>
        <v>5000</v>
      </c>
    </row>
    <row r="248" spans="2:16" x14ac:dyDescent="0.3">
      <c r="B248" s="5">
        <f t="shared" si="31"/>
        <v>46264</v>
      </c>
      <c r="C248" s="3">
        <v>8</v>
      </c>
      <c r="D248" s="3">
        <v>30</v>
      </c>
      <c r="E248" s="3">
        <f t="shared" si="30"/>
        <v>1</v>
      </c>
      <c r="F248" s="4" t="str">
        <f>IF($E248=참조!$B$2,참조!$C$2,IF($E248=참조!$B$3,참조!$C$3,IF($E248=참조!$B$4,참조!$C$4,IF($E248=참조!$B$5,참조!$C$5,IF($E248=참조!$B$6,참조!$C$6,IF($E248=참조!$B$7,참조!$C$7,IF($E248=참조!$B$8,참조!$C$8,"")))))))</f>
        <v>日</v>
      </c>
      <c r="G248" s="4" t="str">
        <f>IF($F248=참조!$C$2,참조!$D$2,IF($F248=참조!$C$8,참조!$D$2,IF(COUNTIF('2026년휴일'!$B:$B,$B248)&gt;0,참조!$D$2,참조!$D$3)))</f>
        <v>休</v>
      </c>
      <c r="H248" s="31">
        <f>IF($G248=참조!$D$3,참조!$E$3,참조!$E$2)</f>
        <v>5000</v>
      </c>
      <c r="I248" s="31">
        <f>SUMIFS(지출기록_8월!$H$3:$H$314,지출기록_8월!$E$3:$E$314,B248,지출기록_8월!$F$3:$F$314,참조!$F$2)</f>
        <v>0</v>
      </c>
      <c r="J248" s="31">
        <f>SUMIFS(지출기록_8월!$H$3:$H$314,지출기록_8월!$E$3:$E$314,B248,지출기록_8월!$F$3:$F$314,참조!$F$3)</f>
        <v>0</v>
      </c>
      <c r="K248" s="31">
        <f t="shared" si="47"/>
        <v>0</v>
      </c>
      <c r="L248" s="31">
        <f t="shared" ca="1" si="32"/>
        <v>5000</v>
      </c>
      <c r="M248" s="31">
        <f t="shared" si="25"/>
        <v>5000</v>
      </c>
    </row>
    <row r="249" spans="2:16" x14ac:dyDescent="0.3">
      <c r="B249" s="5">
        <f t="shared" si="31"/>
        <v>46265</v>
      </c>
      <c r="C249" s="3">
        <v>8</v>
      </c>
      <c r="D249" s="3">
        <v>31</v>
      </c>
      <c r="E249" s="3">
        <f t="shared" si="30"/>
        <v>2</v>
      </c>
      <c r="F249" s="4" t="str">
        <f>IF($E249=참조!$B$2,참조!$C$2,IF($E249=참조!$B$3,참조!$C$3,IF($E249=참조!$B$4,참조!$C$4,IF($E249=참조!$B$5,참조!$C$5,IF($E249=참조!$B$6,참조!$C$6,IF($E249=참조!$B$7,참조!$C$7,IF($E249=참조!$B$8,참조!$C$8,"")))))))</f>
        <v>月</v>
      </c>
      <c r="G249" s="4" t="str">
        <f>IF($F249=참조!$C$2,참조!$D$2,IF($F249=참조!$C$8,참조!$D$2,IF(COUNTIF('2026년휴일'!$B:$B,$B249)&gt;0,참조!$D$2,참조!$D$3)))</f>
        <v>勤</v>
      </c>
      <c r="H249" s="31">
        <f>IF($G249=참조!$D$3,참조!$E$3,참조!$E$2)</f>
        <v>1000</v>
      </c>
      <c r="I249" s="31">
        <f>SUMIFS(지출기록_8월!$H$3:$H$314,지출기록_8월!$E$3:$E$314,B249,지출기록_8월!$F$3:$F$314,참조!$F$2)</f>
        <v>0</v>
      </c>
      <c r="J249" s="31">
        <f>SUMIFS(지출기록_8월!$H$3:$H$314,지출기록_8월!$E$3:$E$314,B249,지출기록_8월!$F$3:$F$314,참조!$F$3)</f>
        <v>0</v>
      </c>
      <c r="K249" s="31">
        <f t="shared" si="47"/>
        <v>0</v>
      </c>
      <c r="L249" s="31">
        <f t="shared" ca="1" si="32"/>
        <v>1000</v>
      </c>
      <c r="M249" s="31">
        <f t="shared" si="25"/>
        <v>1000</v>
      </c>
      <c r="N249" s="3">
        <f>SUM(K243:K249)</f>
        <v>0</v>
      </c>
      <c r="P249" s="3">
        <f>SUM(K220:K249)</f>
        <v>0</v>
      </c>
    </row>
    <row r="250" spans="2:16" x14ac:dyDescent="0.3">
      <c r="B250" s="5">
        <f t="shared" si="31"/>
        <v>46266</v>
      </c>
      <c r="C250" s="3">
        <v>9</v>
      </c>
      <c r="D250" s="3">
        <v>1</v>
      </c>
      <c r="E250" s="3">
        <f t="shared" si="30"/>
        <v>3</v>
      </c>
      <c r="F250" s="4" t="str">
        <f>IF($E250=참조!$B$2,참조!$C$2,IF($E250=참조!$B$3,참조!$C$3,IF($E250=참조!$B$4,참조!$C$4,IF($E250=참조!$B$5,참조!$C$5,IF($E250=참조!$B$6,참조!$C$6,IF($E250=참조!$B$7,참조!$C$7,IF($E250=참조!$B$8,참조!$C$8,"")))))))</f>
        <v>火</v>
      </c>
      <c r="G250" s="4" t="str">
        <f>IF($F250=참조!$C$2,참조!$D$2,IF($F250=참조!$C$8,참조!$D$2,IF(COUNTIF('2026년휴일'!$B:$B,$B250)&gt;0,참조!$D$2,참조!$D$3)))</f>
        <v>勤</v>
      </c>
      <c r="H250" s="31">
        <f>IF($G250=참조!$D$3,참조!$E$3,참조!$E$2)</f>
        <v>1000</v>
      </c>
      <c r="I250" s="31">
        <f>SUMIFS(지출기록_9월!$H$3:$H$314,지출기록_9월!$E$3:$E$314,B250,지출기록_9월!$F$3:$F$314,참조!$F$2)</f>
        <v>0</v>
      </c>
      <c r="J250" s="31">
        <f>SUMIFS(지출기록_9월!$H$3:$H$314,지출기록_9월!$E$3:$E$314,B250,지출기록_9월!$F$3:$F$314,참조!$F$3)</f>
        <v>0</v>
      </c>
      <c r="K250" s="31">
        <f t="shared" si="47"/>
        <v>0</v>
      </c>
      <c r="L250" s="31">
        <f t="shared" ca="1" si="32"/>
        <v>1000</v>
      </c>
      <c r="M250" s="31">
        <f t="shared" si="25"/>
        <v>1000</v>
      </c>
    </row>
    <row r="251" spans="2:16" x14ac:dyDescent="0.3">
      <c r="B251" s="5">
        <f t="shared" si="31"/>
        <v>46267</v>
      </c>
      <c r="C251" s="3">
        <v>9</v>
      </c>
      <c r="D251" s="3">
        <v>2</v>
      </c>
      <c r="E251" s="3">
        <f t="shared" si="30"/>
        <v>4</v>
      </c>
      <c r="F251" s="4" t="str">
        <f>IF($E251=참조!$B$2,참조!$C$2,IF($E251=참조!$B$3,참조!$C$3,IF($E251=참조!$B$4,참조!$C$4,IF($E251=참조!$B$5,참조!$C$5,IF($E251=참조!$B$6,참조!$C$6,IF($E251=참조!$B$7,참조!$C$7,IF($E251=참조!$B$8,참조!$C$8,"")))))))</f>
        <v>水</v>
      </c>
      <c r="G251" s="4" t="str">
        <f>IF($F251=참조!$C$2,참조!$D$2,IF($F251=참조!$C$8,참조!$D$2,IF(COUNTIF('2026년휴일'!$B:$B,$B251)&gt;0,참조!$D$2,참조!$D$3)))</f>
        <v>勤</v>
      </c>
      <c r="H251" s="31">
        <f>IF($G251=참조!$D$3,참조!$E$3,참조!$E$2)</f>
        <v>1000</v>
      </c>
      <c r="I251" s="31">
        <f>SUMIFS(지출기록_9월!$H$3:$H$314,지출기록_9월!$E$3:$E$314,B251,지출기록_9월!$F$3:$F$314,참조!$F$2)</f>
        <v>0</v>
      </c>
      <c r="J251" s="31">
        <f>SUMIFS(지출기록_9월!$H$3:$H$314,지출기록_9월!$E$3:$E$314,B251,지출기록_9월!$F$3:$F$314,참조!$F$3)</f>
        <v>0</v>
      </c>
      <c r="K251" s="31">
        <f t="shared" ref="K251" si="48">I251-J251</f>
        <v>0</v>
      </c>
      <c r="L251" s="31">
        <f t="shared" ca="1" si="32"/>
        <v>1000</v>
      </c>
      <c r="M251" s="31">
        <f t="shared" si="25"/>
        <v>1000</v>
      </c>
    </row>
    <row r="252" spans="2:16" x14ac:dyDescent="0.3">
      <c r="B252" s="5">
        <f t="shared" si="31"/>
        <v>46268</v>
      </c>
      <c r="C252" s="3">
        <v>9</v>
      </c>
      <c r="D252" s="3">
        <v>3</v>
      </c>
      <c r="E252" s="3">
        <f t="shared" si="30"/>
        <v>5</v>
      </c>
      <c r="F252" s="4" t="str">
        <f>IF($E252=참조!$B$2,참조!$C$2,IF($E252=참조!$B$3,참조!$C$3,IF($E252=참조!$B$4,참조!$C$4,IF($E252=참조!$B$5,참조!$C$5,IF($E252=참조!$B$6,참조!$C$6,IF($E252=참조!$B$7,참조!$C$7,IF($E252=참조!$B$8,참조!$C$8,"")))))))</f>
        <v>木</v>
      </c>
      <c r="G252" s="4" t="str">
        <f>IF($F252=참조!$C$2,참조!$D$2,IF($F252=참조!$C$8,참조!$D$2,IF(COUNTIF('2026년휴일'!$B:$B,$B252)&gt;0,참조!$D$2,참조!$D$3)))</f>
        <v>勤</v>
      </c>
      <c r="H252" s="31">
        <f>IF($G252=참조!$D$3,참조!$E$3,참조!$E$2)</f>
        <v>1000</v>
      </c>
      <c r="I252" s="31">
        <f>SUMIFS(지출기록_9월!$H$3:$H$314,지출기록_9월!$E$3:$E$314,B252,지출기록_9월!$F$3:$F$314,참조!$F$2)</f>
        <v>0</v>
      </c>
      <c r="J252" s="31">
        <f>SUMIFS(지출기록_9월!$H$3:$H$314,지출기록_9월!$E$3:$E$314,B252,지출기록_9월!$F$3:$F$314,참조!$F$3)</f>
        <v>0</v>
      </c>
      <c r="K252" s="31">
        <f t="shared" ref="K252" si="49">I252-J252</f>
        <v>0</v>
      </c>
      <c r="L252" s="31">
        <f t="shared" ca="1" si="32"/>
        <v>1000</v>
      </c>
      <c r="M252" s="31">
        <f t="shared" si="25"/>
        <v>1000</v>
      </c>
    </row>
    <row r="253" spans="2:16" x14ac:dyDescent="0.3">
      <c r="B253" s="5">
        <f t="shared" si="31"/>
        <v>46269</v>
      </c>
      <c r="C253" s="3">
        <v>9</v>
      </c>
      <c r="D253" s="3">
        <v>4</v>
      </c>
      <c r="E253" s="3">
        <f t="shared" si="30"/>
        <v>6</v>
      </c>
      <c r="F253" s="4" t="str">
        <f>IF($E253=참조!$B$2,참조!$C$2,IF($E253=참조!$B$3,참조!$C$3,IF($E253=참조!$B$4,참조!$C$4,IF($E253=참조!$B$5,참조!$C$5,IF($E253=참조!$B$6,참조!$C$6,IF($E253=참조!$B$7,참조!$C$7,IF($E253=참조!$B$8,참조!$C$8,"")))))))</f>
        <v>金</v>
      </c>
      <c r="G253" s="4" t="str">
        <f>IF($F253=참조!$C$2,참조!$D$2,IF($F253=참조!$C$8,참조!$D$2,IF(COUNTIF('2026년휴일'!$B:$B,$B253)&gt;0,참조!$D$2,참조!$D$3)))</f>
        <v>勤</v>
      </c>
      <c r="H253" s="31">
        <f>IF($G253=참조!$D$3,참조!$E$3,참조!$E$2)</f>
        <v>1000</v>
      </c>
      <c r="I253" s="31">
        <f>SUMIFS(지출기록_9월!$H$3:$H$314,지출기록_9월!$E$3:$E$314,B253,지출기록_9월!$F$3:$F$314,참조!$F$2)</f>
        <v>0</v>
      </c>
      <c r="J253" s="31">
        <f>SUMIFS(지출기록_9월!$H$3:$H$314,지출기록_9월!$E$3:$E$314,B253,지출기록_9월!$F$3:$F$314,참조!$F$3)</f>
        <v>0</v>
      </c>
      <c r="K253" s="31">
        <f t="shared" ref="K253:K258" si="50">I253-J253</f>
        <v>0</v>
      </c>
      <c r="L253" s="31">
        <f t="shared" ca="1" si="32"/>
        <v>1000</v>
      </c>
      <c r="M253" s="31">
        <f t="shared" si="25"/>
        <v>1000</v>
      </c>
    </row>
    <row r="254" spans="2:16" x14ac:dyDescent="0.3">
      <c r="B254" s="5">
        <f t="shared" si="31"/>
        <v>46270</v>
      </c>
      <c r="C254" s="3">
        <v>9</v>
      </c>
      <c r="D254" s="3">
        <v>5</v>
      </c>
      <c r="E254" s="3">
        <f t="shared" si="30"/>
        <v>7</v>
      </c>
      <c r="F254" s="4" t="str">
        <f>IF($E254=참조!$B$2,참조!$C$2,IF($E254=참조!$B$3,참조!$C$3,IF($E254=참조!$B$4,참조!$C$4,IF($E254=참조!$B$5,참조!$C$5,IF($E254=참조!$B$6,참조!$C$6,IF($E254=참조!$B$7,참조!$C$7,IF($E254=참조!$B$8,참조!$C$8,"")))))))</f>
        <v>土</v>
      </c>
      <c r="G254" s="4" t="str">
        <f>IF($F254=참조!$C$2,참조!$D$2,IF($F254=참조!$C$8,참조!$D$2,IF(COUNTIF('2026년휴일'!$B:$B,$B254)&gt;0,참조!$D$2,참조!$D$3)))</f>
        <v>休</v>
      </c>
      <c r="H254" s="31">
        <f>IF($G254=참조!$D$3,참조!$E$3,참조!$E$2)</f>
        <v>5000</v>
      </c>
      <c r="I254" s="31">
        <f>SUMIFS(지출기록_9월!$H$3:$H$314,지출기록_9월!$E$3:$E$314,B254,지출기록_9월!$F$3:$F$314,참조!$F$2)</f>
        <v>0</v>
      </c>
      <c r="J254" s="31">
        <f>SUMIFS(지출기록_9월!$H$3:$H$314,지출기록_9월!$E$3:$E$314,B254,지출기록_9월!$F$3:$F$314,참조!$F$3)</f>
        <v>0</v>
      </c>
      <c r="K254" s="31">
        <f t="shared" si="50"/>
        <v>0</v>
      </c>
      <c r="L254" s="31">
        <f t="shared" ca="1" si="32"/>
        <v>5000</v>
      </c>
      <c r="M254" s="31">
        <f t="shared" ref="M254:M317" si="51">$H254-$K254</f>
        <v>5000</v>
      </c>
    </row>
    <row r="255" spans="2:16" x14ac:dyDescent="0.3">
      <c r="B255" s="5">
        <f t="shared" si="31"/>
        <v>46271</v>
      </c>
      <c r="C255" s="3">
        <v>9</v>
      </c>
      <c r="D255" s="3">
        <v>6</v>
      </c>
      <c r="E255" s="3">
        <f t="shared" si="30"/>
        <v>1</v>
      </c>
      <c r="F255" s="4" t="str">
        <f>IF($E255=참조!$B$2,참조!$C$2,IF($E255=참조!$B$3,참조!$C$3,IF($E255=참조!$B$4,참조!$C$4,IF($E255=참조!$B$5,참조!$C$5,IF($E255=참조!$B$6,참조!$C$6,IF($E255=참조!$B$7,참조!$C$7,IF($E255=참조!$B$8,참조!$C$8,"")))))))</f>
        <v>日</v>
      </c>
      <c r="G255" s="4" t="str">
        <f>IF($F255=참조!$C$2,참조!$D$2,IF($F255=참조!$C$8,참조!$D$2,IF(COUNTIF('2026년휴일'!$B:$B,$B255)&gt;0,참조!$D$2,참조!$D$3)))</f>
        <v>休</v>
      </c>
      <c r="H255" s="31">
        <f>IF($G255=참조!$D$3,참조!$E$3,참조!$E$2)</f>
        <v>5000</v>
      </c>
      <c r="I255" s="31">
        <f>SUMIFS(지출기록_9월!$H$3:$H$314,지출기록_9월!$E$3:$E$314,B255,지출기록_9월!$F$3:$F$314,참조!$F$2)</f>
        <v>0</v>
      </c>
      <c r="J255" s="31">
        <f>SUMIFS(지출기록_9월!$H$3:$H$314,지출기록_9월!$E$3:$E$314,B255,지출기록_9월!$F$3:$F$314,참조!$F$3)</f>
        <v>0</v>
      </c>
      <c r="K255" s="31">
        <f t="shared" si="50"/>
        <v>0</v>
      </c>
      <c r="L255" s="31">
        <f t="shared" ca="1" si="32"/>
        <v>5000</v>
      </c>
      <c r="M255" s="31">
        <f t="shared" si="51"/>
        <v>5000</v>
      </c>
    </row>
    <row r="256" spans="2:16" x14ac:dyDescent="0.3">
      <c r="B256" s="5">
        <f t="shared" si="31"/>
        <v>46272</v>
      </c>
      <c r="C256" s="3">
        <v>9</v>
      </c>
      <c r="D256" s="3">
        <v>7</v>
      </c>
      <c r="E256" s="3">
        <f t="shared" si="30"/>
        <v>2</v>
      </c>
      <c r="F256" s="4" t="str">
        <f>IF($E256=참조!$B$2,참조!$C$2,IF($E256=참조!$B$3,참조!$C$3,IF($E256=참조!$B$4,참조!$C$4,IF($E256=참조!$B$5,참조!$C$5,IF($E256=참조!$B$6,참조!$C$6,IF($E256=참조!$B$7,참조!$C$7,IF($E256=참조!$B$8,참조!$C$8,"")))))))</f>
        <v>月</v>
      </c>
      <c r="G256" s="4" t="str">
        <f>IF($F256=참조!$C$2,참조!$D$2,IF($F256=참조!$C$8,참조!$D$2,IF(COUNTIF('2026년휴일'!$B:$B,$B256)&gt;0,참조!$D$2,참조!$D$3)))</f>
        <v>勤</v>
      </c>
      <c r="H256" s="31">
        <f>IF($G256=참조!$D$3,참조!$E$3,참조!$E$2)</f>
        <v>1000</v>
      </c>
      <c r="I256" s="31">
        <f>SUMIFS(지출기록_9월!$H$3:$H$314,지출기록_9월!$E$3:$E$314,B256,지출기록_9월!$F$3:$F$314,참조!$F$2)</f>
        <v>0</v>
      </c>
      <c r="J256" s="31">
        <f>SUMIFS(지출기록_9월!$H$3:$H$314,지출기록_9월!$E$3:$E$314,B256,지출기록_9월!$F$3:$F$314,참조!$F$3)</f>
        <v>0</v>
      </c>
      <c r="K256" s="31">
        <f t="shared" si="50"/>
        <v>0</v>
      </c>
      <c r="L256" s="31">
        <f t="shared" ca="1" si="32"/>
        <v>1000</v>
      </c>
      <c r="M256" s="31">
        <f t="shared" si="51"/>
        <v>1000</v>
      </c>
      <c r="N256" s="3">
        <f>SUM(K250:K256)</f>
        <v>0</v>
      </c>
    </row>
    <row r="257" spans="2:16" x14ac:dyDescent="0.3">
      <c r="B257" s="5">
        <f t="shared" si="31"/>
        <v>46273</v>
      </c>
      <c r="C257" s="3">
        <v>9</v>
      </c>
      <c r="D257" s="3">
        <v>8</v>
      </c>
      <c r="E257" s="3">
        <f t="shared" si="30"/>
        <v>3</v>
      </c>
      <c r="F257" s="4" t="str">
        <f>IF($E257=참조!$B$2,참조!$C$2,IF($E257=참조!$B$3,참조!$C$3,IF($E257=참조!$B$4,참조!$C$4,IF($E257=참조!$B$5,참조!$C$5,IF($E257=참조!$B$6,참조!$C$6,IF($E257=참조!$B$7,참조!$C$7,IF($E257=참조!$B$8,참조!$C$8,"")))))))</f>
        <v>火</v>
      </c>
      <c r="G257" s="4" t="str">
        <f>IF($F257=참조!$C$2,참조!$D$2,IF($F257=참조!$C$8,참조!$D$2,IF(COUNTIF('2026년휴일'!$B:$B,$B257)&gt;0,참조!$D$2,참조!$D$3)))</f>
        <v>勤</v>
      </c>
      <c r="H257" s="31">
        <f>IF($G257=참조!$D$3,참조!$E$3,참조!$E$2)</f>
        <v>1000</v>
      </c>
      <c r="I257" s="31">
        <f>SUMIFS(지출기록_9월!$H$3:$H$314,지출기록_9월!$E$3:$E$314,B257,지출기록_9월!$F$3:$F$314,참조!$F$2)</f>
        <v>0</v>
      </c>
      <c r="J257" s="31">
        <f>SUMIFS(지출기록_9월!$H$3:$H$314,지출기록_9월!$E$3:$E$314,B257,지출기록_9월!$F$3:$F$314,참조!$F$3)</f>
        <v>0</v>
      </c>
      <c r="K257" s="31">
        <f t="shared" si="50"/>
        <v>0</v>
      </c>
      <c r="L257" s="31">
        <f t="shared" ca="1" si="32"/>
        <v>1000</v>
      </c>
      <c r="M257" s="31">
        <f t="shared" si="51"/>
        <v>1000</v>
      </c>
    </row>
    <row r="258" spans="2:16" x14ac:dyDescent="0.3">
      <c r="B258" s="5">
        <f t="shared" si="31"/>
        <v>46274</v>
      </c>
      <c r="C258" s="3">
        <v>9</v>
      </c>
      <c r="D258" s="3">
        <v>9</v>
      </c>
      <c r="E258" s="3">
        <f t="shared" si="30"/>
        <v>4</v>
      </c>
      <c r="F258" s="4" t="str">
        <f>IF($E258=참조!$B$2,참조!$C$2,IF($E258=참조!$B$3,참조!$C$3,IF($E258=참조!$B$4,참조!$C$4,IF($E258=참조!$B$5,참조!$C$5,IF($E258=참조!$B$6,참조!$C$6,IF($E258=참조!$B$7,참조!$C$7,IF($E258=참조!$B$8,참조!$C$8,"")))))))</f>
        <v>水</v>
      </c>
      <c r="G258" s="4" t="str">
        <f>IF($F258=참조!$C$2,참조!$D$2,IF($F258=참조!$C$8,참조!$D$2,IF(COUNTIF('2026년휴일'!$B:$B,$B258)&gt;0,참조!$D$2,참조!$D$3)))</f>
        <v>勤</v>
      </c>
      <c r="H258" s="31">
        <f>IF($G258=참조!$D$3,참조!$E$3,참조!$E$2)</f>
        <v>1000</v>
      </c>
      <c r="I258" s="31">
        <f>SUMIFS(지출기록_9월!$H$3:$H$314,지출기록_9월!$E$3:$E$314,B258,지출기록_9월!$F$3:$F$314,참조!$F$2)</f>
        <v>0</v>
      </c>
      <c r="J258" s="31">
        <f>SUMIFS(지출기록_9월!$H$3:$H$314,지출기록_9월!$E$3:$E$314,B258,지출기록_9월!$F$3:$F$314,참조!$F$3)</f>
        <v>0</v>
      </c>
      <c r="K258" s="31">
        <f t="shared" si="50"/>
        <v>0</v>
      </c>
      <c r="L258" s="31">
        <f t="shared" ca="1" si="32"/>
        <v>1000</v>
      </c>
      <c r="M258" s="31">
        <f t="shared" si="51"/>
        <v>1000</v>
      </c>
      <c r="P258" s="3">
        <f>SUM(K251:K259)</f>
        <v>0</v>
      </c>
    </row>
    <row r="259" spans="2:16" x14ac:dyDescent="0.3">
      <c r="B259" s="5">
        <f t="shared" si="31"/>
        <v>46275</v>
      </c>
      <c r="C259" s="3">
        <v>9</v>
      </c>
      <c r="D259" s="3">
        <v>10</v>
      </c>
      <c r="E259" s="3">
        <f t="shared" si="30"/>
        <v>5</v>
      </c>
      <c r="F259" s="4" t="str">
        <f>IF($E259=참조!$B$2,참조!$C$2,IF($E259=참조!$B$3,참조!$C$3,IF($E259=참조!$B$4,참조!$C$4,IF($E259=참조!$B$5,참조!$C$5,IF($E259=참조!$B$6,참조!$C$6,IF($E259=참조!$B$7,참조!$C$7,IF($E259=참조!$B$8,참조!$C$8,"")))))))</f>
        <v>木</v>
      </c>
      <c r="G259" s="4" t="str">
        <f>IF($F259=참조!$C$2,참조!$D$2,IF($F259=참조!$C$8,참조!$D$2,IF(COUNTIF('2026년휴일'!$B:$B,$B259)&gt;0,참조!$D$2,참조!$D$3)))</f>
        <v>勤</v>
      </c>
      <c r="H259" s="31">
        <f>IF($G259=참조!$D$3,참조!$E$3,참조!$E$2)</f>
        <v>1000</v>
      </c>
      <c r="I259" s="31">
        <f>SUMIFS(지출기록_9월!$H$3:$H$314,지출기록_9월!$E$3:$E$314,B259,지출기록_9월!$F$3:$F$314,참조!$F$2)</f>
        <v>0</v>
      </c>
      <c r="J259" s="31">
        <f>SUMIFS(지출기록_9월!$H$3:$H$314,지출기록_9월!$E$3:$E$314,B259,지출기록_9월!$F$3:$F$314,참조!$F$3)</f>
        <v>0</v>
      </c>
      <c r="K259" s="31">
        <f t="shared" ref="K259" si="52">I259-J259</f>
        <v>0</v>
      </c>
      <c r="L259" s="31">
        <f t="shared" ca="1" si="32"/>
        <v>1000</v>
      </c>
      <c r="M259" s="31">
        <f t="shared" si="51"/>
        <v>1000</v>
      </c>
    </row>
    <row r="260" spans="2:16" x14ac:dyDescent="0.3">
      <c r="B260" s="5">
        <f t="shared" si="31"/>
        <v>46276</v>
      </c>
      <c r="C260" s="3">
        <v>9</v>
      </c>
      <c r="D260" s="3">
        <v>11</v>
      </c>
      <c r="E260" s="3">
        <f t="shared" si="30"/>
        <v>6</v>
      </c>
      <c r="F260" s="4" t="str">
        <f>IF($E260=참조!$B$2,참조!$C$2,IF($E260=참조!$B$3,참조!$C$3,IF($E260=참조!$B$4,참조!$C$4,IF($E260=참조!$B$5,참조!$C$5,IF($E260=참조!$B$6,참조!$C$6,IF($E260=참조!$B$7,참조!$C$7,IF($E260=참조!$B$8,참조!$C$8,"")))))))</f>
        <v>金</v>
      </c>
      <c r="G260" s="4" t="str">
        <f>IF($F260=참조!$C$2,참조!$D$2,IF($F260=참조!$C$8,참조!$D$2,IF(COUNTIF('2026년휴일'!$B:$B,$B260)&gt;0,참조!$D$2,참조!$D$3)))</f>
        <v>勤</v>
      </c>
      <c r="H260" s="31">
        <f>IF($G260=참조!$D$3,참조!$E$3,참조!$E$2)</f>
        <v>1000</v>
      </c>
      <c r="I260" s="31">
        <f>SUMIFS(지출기록_9월!$H$3:$H$314,지출기록_9월!$E$3:$E$314,B260,지출기록_9월!$F$3:$F$314,참조!$F$2)</f>
        <v>0</v>
      </c>
      <c r="J260" s="31">
        <f>SUMIFS(지출기록_9월!$H$3:$H$314,지출기록_9월!$E$3:$E$314,B260,지출기록_9월!$F$3:$F$314,참조!$F$3)</f>
        <v>0</v>
      </c>
      <c r="K260" s="31">
        <f t="shared" ref="K260:K261" si="53">I260-J260</f>
        <v>0</v>
      </c>
      <c r="L260" s="31">
        <f t="shared" ca="1" si="32"/>
        <v>1000</v>
      </c>
      <c r="M260" s="31">
        <f t="shared" si="51"/>
        <v>1000</v>
      </c>
    </row>
    <row r="261" spans="2:16" x14ac:dyDescent="0.3">
      <c r="B261" s="5">
        <f t="shared" si="31"/>
        <v>46277</v>
      </c>
      <c r="C261" s="3">
        <v>9</v>
      </c>
      <c r="D261" s="3">
        <v>12</v>
      </c>
      <c r="E261" s="3">
        <f t="shared" si="30"/>
        <v>7</v>
      </c>
      <c r="F261" s="4" t="str">
        <f>IF($E261=참조!$B$2,참조!$C$2,IF($E261=참조!$B$3,참조!$C$3,IF($E261=참조!$B$4,참조!$C$4,IF($E261=참조!$B$5,참조!$C$5,IF($E261=참조!$B$6,참조!$C$6,IF($E261=참조!$B$7,참조!$C$7,IF($E261=참조!$B$8,참조!$C$8,"")))))))</f>
        <v>土</v>
      </c>
      <c r="G261" s="4" t="str">
        <f>IF($F261=참조!$C$2,참조!$D$2,IF($F261=참조!$C$8,참조!$D$2,IF(COUNTIF('2026년휴일'!$B:$B,$B261)&gt;0,참조!$D$2,참조!$D$3)))</f>
        <v>休</v>
      </c>
      <c r="H261" s="31">
        <f>IF($G261=참조!$D$3,참조!$E$3,참조!$E$2)</f>
        <v>5000</v>
      </c>
      <c r="I261" s="31">
        <f>SUMIFS(지출기록_9월!$H$3:$H$314,지출기록_9월!$E$3:$E$314,B261,지출기록_9월!$F$3:$F$314,참조!$F$2)</f>
        <v>0</v>
      </c>
      <c r="J261" s="31">
        <f>SUMIFS(지출기록_9월!$H$3:$H$314,지출기록_9월!$E$3:$E$314,B261,지출기록_9월!$F$3:$F$314,참조!$F$3)</f>
        <v>0</v>
      </c>
      <c r="K261" s="31">
        <f t="shared" si="53"/>
        <v>0</v>
      </c>
      <c r="L261" s="31">
        <f t="shared" ca="1" si="32"/>
        <v>5000</v>
      </c>
      <c r="M261" s="31">
        <f t="shared" si="51"/>
        <v>5000</v>
      </c>
    </row>
    <row r="262" spans="2:16" x14ac:dyDescent="0.3">
      <c r="B262" s="5">
        <f t="shared" si="31"/>
        <v>46278</v>
      </c>
      <c r="C262" s="3">
        <v>9</v>
      </c>
      <c r="D262" s="3">
        <v>13</v>
      </c>
      <c r="E262" s="3">
        <f t="shared" si="30"/>
        <v>1</v>
      </c>
      <c r="F262" s="4" t="str">
        <f>IF($E262=참조!$B$2,참조!$C$2,IF($E262=참조!$B$3,참조!$C$3,IF($E262=참조!$B$4,참조!$C$4,IF($E262=참조!$B$5,참조!$C$5,IF($E262=참조!$B$6,참조!$C$6,IF($E262=참조!$B$7,참조!$C$7,IF($E262=참조!$B$8,참조!$C$8,"")))))))</f>
        <v>日</v>
      </c>
      <c r="G262" s="4" t="str">
        <f>IF($F262=참조!$C$2,참조!$D$2,IF($F262=참조!$C$8,참조!$D$2,IF(COUNTIF('2026년휴일'!$B:$B,$B262)&gt;0,참조!$D$2,참조!$D$3)))</f>
        <v>休</v>
      </c>
      <c r="H262" s="31">
        <f>IF($G262=참조!$D$3,참조!$E$3,참조!$E$2)</f>
        <v>5000</v>
      </c>
      <c r="I262" s="31">
        <f>SUMIFS(지출기록_9월!$H$3:$H$314,지출기록_9월!$E$3:$E$314,B262,지출기록_9월!$F$3:$F$314,참조!$F$2)</f>
        <v>0</v>
      </c>
      <c r="J262" s="31">
        <f>SUMIFS(지출기록_9월!$H$3:$H$314,지출기록_9월!$E$3:$E$314,B262,지출기록_9월!$F$3:$F$314,참조!$F$3)</f>
        <v>0</v>
      </c>
      <c r="K262" s="31">
        <f t="shared" ref="K262:K274" si="54">I262-J262</f>
        <v>0</v>
      </c>
      <c r="L262" s="31">
        <f t="shared" ca="1" si="32"/>
        <v>5000</v>
      </c>
      <c r="M262" s="31">
        <f t="shared" si="51"/>
        <v>5000</v>
      </c>
    </row>
    <row r="263" spans="2:16" x14ac:dyDescent="0.3">
      <c r="B263" s="5">
        <f t="shared" si="31"/>
        <v>46279</v>
      </c>
      <c r="C263" s="3">
        <v>9</v>
      </c>
      <c r="D263" s="3">
        <v>14</v>
      </c>
      <c r="E263" s="3">
        <f t="shared" ref="E263:E326" si="55">WEEKDAY(B263)</f>
        <v>2</v>
      </c>
      <c r="F263" s="4" t="str">
        <f>IF($E263=참조!$B$2,참조!$C$2,IF($E263=참조!$B$3,참조!$C$3,IF($E263=참조!$B$4,참조!$C$4,IF($E263=참조!$B$5,참조!$C$5,IF($E263=참조!$B$6,참조!$C$6,IF($E263=참조!$B$7,참조!$C$7,IF($E263=참조!$B$8,참조!$C$8,"")))))))</f>
        <v>月</v>
      </c>
      <c r="G263" s="4" t="str">
        <f>IF($F263=참조!$C$2,참조!$D$2,IF($F263=참조!$C$8,참조!$D$2,IF(COUNTIF('2026년휴일'!$B:$B,$B263)&gt;0,참조!$D$2,참조!$D$3)))</f>
        <v>勤</v>
      </c>
      <c r="H263" s="31">
        <f>IF($G263=참조!$D$3,참조!$E$3,참조!$E$2)</f>
        <v>1000</v>
      </c>
      <c r="I263" s="31">
        <f>SUMIFS(지출기록_9월!$H$3:$H$314,지출기록_9월!$E$3:$E$314,B263,지출기록_9월!$F$3:$F$314,참조!$F$2)</f>
        <v>0</v>
      </c>
      <c r="J263" s="31">
        <f>SUMIFS(지출기록_9월!$H$3:$H$314,지출기록_9월!$E$3:$E$314,B263,지출기록_9월!$F$3:$F$314,참조!$F$3)</f>
        <v>0</v>
      </c>
      <c r="K263" s="31">
        <f t="shared" si="54"/>
        <v>0</v>
      </c>
      <c r="L263" s="31">
        <f t="shared" ca="1" si="32"/>
        <v>1000</v>
      </c>
      <c r="M263" s="31">
        <f t="shared" si="51"/>
        <v>1000</v>
      </c>
      <c r="N263" s="3">
        <f>SUM(K257:K263)</f>
        <v>0</v>
      </c>
    </row>
    <row r="264" spans="2:16" x14ac:dyDescent="0.3">
      <c r="B264" s="5">
        <f t="shared" ref="B264:B327" si="56">DATE($A$1,C264,D264)</f>
        <v>46280</v>
      </c>
      <c r="C264" s="3">
        <v>9</v>
      </c>
      <c r="D264" s="3">
        <v>15</v>
      </c>
      <c r="E264" s="3">
        <f t="shared" si="55"/>
        <v>3</v>
      </c>
      <c r="F264" s="4" t="str">
        <f>IF($E264=참조!$B$2,참조!$C$2,IF($E264=참조!$B$3,참조!$C$3,IF($E264=참조!$B$4,참조!$C$4,IF($E264=참조!$B$5,참조!$C$5,IF($E264=참조!$B$6,참조!$C$6,IF($E264=참조!$B$7,참조!$C$7,IF($E264=참조!$B$8,참조!$C$8,"")))))))</f>
        <v>火</v>
      </c>
      <c r="G264" s="4" t="str">
        <f>IF($F264=참조!$C$2,참조!$D$2,IF($F264=참조!$C$8,참조!$D$2,IF(COUNTIF('2026년휴일'!$B:$B,$B264)&gt;0,참조!$D$2,참조!$D$3)))</f>
        <v>勤</v>
      </c>
      <c r="H264" s="31">
        <f>IF($G264=참조!$D$3,참조!$E$3,참조!$E$2)</f>
        <v>1000</v>
      </c>
      <c r="I264" s="31">
        <f>SUMIFS(지출기록_9월!$H$3:$H$314,지출기록_9월!$E$3:$E$314,B264,지출기록_9월!$F$3:$F$314,참조!$F$2)</f>
        <v>0</v>
      </c>
      <c r="J264" s="31">
        <f>SUMIFS(지출기록_9월!$H$3:$H$314,지출기록_9월!$E$3:$E$314,B264,지출기록_9월!$F$3:$F$314,참조!$F$3)</f>
        <v>0</v>
      </c>
      <c r="K264" s="31">
        <f t="shared" si="54"/>
        <v>0</v>
      </c>
      <c r="L264" s="31">
        <f t="shared" ref="L264:L327" ca="1" si="57">IF(B264&gt;$B$2,H264,K264)</f>
        <v>1000</v>
      </c>
      <c r="M264" s="31">
        <f t="shared" si="51"/>
        <v>1000</v>
      </c>
    </row>
    <row r="265" spans="2:16" x14ac:dyDescent="0.3">
      <c r="B265" s="5">
        <f t="shared" si="56"/>
        <v>46281</v>
      </c>
      <c r="C265" s="3">
        <v>9</v>
      </c>
      <c r="D265" s="3">
        <v>16</v>
      </c>
      <c r="E265" s="3">
        <f t="shared" si="55"/>
        <v>4</v>
      </c>
      <c r="F265" s="4" t="str">
        <f>IF($E265=참조!$B$2,참조!$C$2,IF($E265=참조!$B$3,참조!$C$3,IF($E265=참조!$B$4,참조!$C$4,IF($E265=참조!$B$5,참조!$C$5,IF($E265=참조!$B$6,참조!$C$6,IF($E265=참조!$B$7,참조!$C$7,IF($E265=참조!$B$8,참조!$C$8,"")))))))</f>
        <v>水</v>
      </c>
      <c r="G265" s="4" t="str">
        <f>IF($F265=참조!$C$2,참조!$D$2,IF($F265=참조!$C$8,참조!$D$2,IF(COUNTIF('2026년휴일'!$B:$B,$B265)&gt;0,참조!$D$2,참조!$D$3)))</f>
        <v>勤</v>
      </c>
      <c r="H265" s="31">
        <f>IF($G265=참조!$D$3,참조!$E$3,참조!$E$2)</f>
        <v>1000</v>
      </c>
      <c r="I265" s="31">
        <f>SUMIFS(지출기록_9월!$H$3:$H$314,지출기록_9월!$E$3:$E$314,B265,지출기록_9월!$F$3:$F$314,참조!$F$2)</f>
        <v>0</v>
      </c>
      <c r="J265" s="31">
        <f>SUMIFS(지출기록_9월!$H$3:$H$314,지출기록_9월!$E$3:$E$314,B265,지출기록_9월!$F$3:$F$314,참조!$F$3)</f>
        <v>0</v>
      </c>
      <c r="K265" s="31">
        <f t="shared" si="54"/>
        <v>0</v>
      </c>
      <c r="L265" s="31">
        <f t="shared" ca="1" si="57"/>
        <v>1000</v>
      </c>
      <c r="M265" s="31">
        <f t="shared" si="51"/>
        <v>1000</v>
      </c>
    </row>
    <row r="266" spans="2:16" x14ac:dyDescent="0.3">
      <c r="B266" s="5">
        <f t="shared" si="56"/>
        <v>46282</v>
      </c>
      <c r="C266" s="3">
        <v>9</v>
      </c>
      <c r="D266" s="3">
        <v>17</v>
      </c>
      <c r="E266" s="3">
        <f t="shared" si="55"/>
        <v>5</v>
      </c>
      <c r="F266" s="4" t="str">
        <f>IF($E266=참조!$B$2,참조!$C$2,IF($E266=참조!$B$3,참조!$C$3,IF($E266=참조!$B$4,참조!$C$4,IF($E266=참조!$B$5,참조!$C$5,IF($E266=참조!$B$6,참조!$C$6,IF($E266=참조!$B$7,참조!$C$7,IF($E266=참조!$B$8,참조!$C$8,"")))))))</f>
        <v>木</v>
      </c>
      <c r="G266" s="4" t="str">
        <f>IF($F266=참조!$C$2,참조!$D$2,IF($F266=참조!$C$8,참조!$D$2,IF(COUNTIF('2026년휴일'!$B:$B,$B266)&gt;0,참조!$D$2,참조!$D$3)))</f>
        <v>勤</v>
      </c>
      <c r="H266" s="31">
        <f>IF($G266=참조!$D$3,참조!$E$3,참조!$E$2)</f>
        <v>1000</v>
      </c>
      <c r="I266" s="31">
        <f>SUMIFS(지출기록_9월!$H$3:$H$314,지출기록_9월!$E$3:$E$314,B266,지출기록_9월!$F$3:$F$314,참조!$F$2)</f>
        <v>0</v>
      </c>
      <c r="J266" s="31">
        <f>SUMIFS(지출기록_9월!$H$3:$H$314,지출기록_9월!$E$3:$E$314,B266,지출기록_9월!$F$3:$F$314,참조!$F$3)</f>
        <v>0</v>
      </c>
      <c r="K266" s="31">
        <f t="shared" si="54"/>
        <v>0</v>
      </c>
      <c r="L266" s="31">
        <f t="shared" ca="1" si="57"/>
        <v>1000</v>
      </c>
      <c r="M266" s="31">
        <f t="shared" si="51"/>
        <v>1000</v>
      </c>
    </row>
    <row r="267" spans="2:16" x14ac:dyDescent="0.3">
      <c r="B267" s="5">
        <f t="shared" si="56"/>
        <v>46283</v>
      </c>
      <c r="C267" s="3">
        <v>9</v>
      </c>
      <c r="D267" s="3">
        <v>18</v>
      </c>
      <c r="E267" s="3">
        <f t="shared" si="55"/>
        <v>6</v>
      </c>
      <c r="F267" s="4" t="str">
        <f>IF($E267=참조!$B$2,참조!$C$2,IF($E267=참조!$B$3,참조!$C$3,IF($E267=참조!$B$4,참조!$C$4,IF($E267=참조!$B$5,참조!$C$5,IF($E267=참조!$B$6,참조!$C$6,IF($E267=참조!$B$7,참조!$C$7,IF($E267=참조!$B$8,참조!$C$8,"")))))))</f>
        <v>金</v>
      </c>
      <c r="G267" s="4" t="str">
        <f>IF($F267=참조!$C$2,참조!$D$2,IF($F267=참조!$C$8,참조!$D$2,IF(COUNTIF('2026년휴일'!$B:$B,$B267)&gt;0,참조!$D$2,참조!$D$3)))</f>
        <v>勤</v>
      </c>
      <c r="H267" s="31">
        <f>IF($G267=참조!$D$3,참조!$E$3,참조!$E$2)</f>
        <v>1000</v>
      </c>
      <c r="I267" s="31">
        <f>SUMIFS(지출기록_9월!$H$3:$H$314,지출기록_9월!$E$3:$E$314,B267,지출기록_9월!$F$3:$F$314,참조!$F$2)</f>
        <v>0</v>
      </c>
      <c r="J267" s="31">
        <f>SUMIFS(지출기록_9월!$H$3:$H$314,지출기록_9월!$E$3:$E$314,B267,지출기록_9월!$F$3:$F$314,참조!$F$3)</f>
        <v>0</v>
      </c>
      <c r="K267" s="31">
        <f t="shared" si="54"/>
        <v>0</v>
      </c>
      <c r="L267" s="31">
        <f t="shared" ca="1" si="57"/>
        <v>1000</v>
      </c>
      <c r="M267" s="31">
        <f t="shared" si="51"/>
        <v>1000</v>
      </c>
    </row>
    <row r="268" spans="2:16" x14ac:dyDescent="0.3">
      <c r="B268" s="5">
        <f t="shared" si="56"/>
        <v>46284</v>
      </c>
      <c r="C268" s="3">
        <v>9</v>
      </c>
      <c r="D268" s="3">
        <v>19</v>
      </c>
      <c r="E268" s="3">
        <f t="shared" si="55"/>
        <v>7</v>
      </c>
      <c r="F268" s="4" t="str">
        <f>IF($E268=참조!$B$2,참조!$C$2,IF($E268=참조!$B$3,참조!$C$3,IF($E268=참조!$B$4,참조!$C$4,IF($E268=참조!$B$5,참조!$C$5,IF($E268=참조!$B$6,참조!$C$6,IF($E268=참조!$B$7,참조!$C$7,IF($E268=참조!$B$8,참조!$C$8,"")))))))</f>
        <v>土</v>
      </c>
      <c r="G268" s="4" t="str">
        <f>IF($F268=참조!$C$2,참조!$D$2,IF($F268=참조!$C$8,참조!$D$2,IF(COUNTIF('2026년휴일'!$B:$B,$B268)&gt;0,참조!$D$2,참조!$D$3)))</f>
        <v>休</v>
      </c>
      <c r="H268" s="31">
        <f>IF($G268=참조!$D$3,참조!$E$3,참조!$E$2)</f>
        <v>5000</v>
      </c>
      <c r="I268" s="31">
        <f>SUMIFS(지출기록_9월!$H$3:$H$314,지출기록_9월!$E$3:$E$314,B268,지출기록_9월!$F$3:$F$314,참조!$F$2)</f>
        <v>0</v>
      </c>
      <c r="J268" s="31">
        <f>SUMIFS(지출기록_9월!$H$3:$H$314,지출기록_9월!$E$3:$E$314,B268,지출기록_9월!$F$3:$F$314,참조!$F$3)</f>
        <v>0</v>
      </c>
      <c r="K268" s="31">
        <f t="shared" si="54"/>
        <v>0</v>
      </c>
      <c r="L268" s="31">
        <f t="shared" ca="1" si="57"/>
        <v>5000</v>
      </c>
      <c r="M268" s="31">
        <f t="shared" si="51"/>
        <v>5000</v>
      </c>
    </row>
    <row r="269" spans="2:16" x14ac:dyDescent="0.3">
      <c r="B269" s="5">
        <f t="shared" si="56"/>
        <v>46285</v>
      </c>
      <c r="C269" s="3">
        <v>9</v>
      </c>
      <c r="D269" s="3">
        <v>20</v>
      </c>
      <c r="E269" s="3">
        <f t="shared" si="55"/>
        <v>1</v>
      </c>
      <c r="F269" s="4" t="str">
        <f>IF($E269=참조!$B$2,참조!$C$2,IF($E269=참조!$B$3,참조!$C$3,IF($E269=참조!$B$4,참조!$C$4,IF($E269=참조!$B$5,참조!$C$5,IF($E269=참조!$B$6,참조!$C$6,IF($E269=참조!$B$7,참조!$C$7,IF($E269=참조!$B$8,참조!$C$8,"")))))))</f>
        <v>日</v>
      </c>
      <c r="G269" s="4" t="str">
        <f>IF($F269=참조!$C$2,참조!$D$2,IF($F269=참조!$C$8,참조!$D$2,IF(COUNTIF('2026년휴일'!$B:$B,$B269)&gt;0,참조!$D$2,참조!$D$3)))</f>
        <v>休</v>
      </c>
      <c r="H269" s="31">
        <f>IF($G269=참조!$D$3,참조!$E$3,참조!$E$2)</f>
        <v>5000</v>
      </c>
      <c r="I269" s="31">
        <f>SUMIFS(지출기록_9월!$H$3:$H$314,지출기록_9월!$E$3:$E$314,B269,지출기록_9월!$F$3:$F$314,참조!$F$2)</f>
        <v>0</v>
      </c>
      <c r="J269" s="31">
        <f>SUMIFS(지출기록_9월!$H$3:$H$314,지출기록_9월!$E$3:$E$314,B269,지출기록_9월!$F$3:$F$314,참조!$F$3)</f>
        <v>0</v>
      </c>
      <c r="K269" s="31">
        <f t="shared" si="54"/>
        <v>0</v>
      </c>
      <c r="L269" s="31">
        <f t="shared" ca="1" si="57"/>
        <v>5000</v>
      </c>
      <c r="M269" s="31">
        <f t="shared" si="51"/>
        <v>5000</v>
      </c>
    </row>
    <row r="270" spans="2:16" x14ac:dyDescent="0.3">
      <c r="B270" s="5">
        <f t="shared" si="56"/>
        <v>46286</v>
      </c>
      <c r="C270" s="3">
        <v>9</v>
      </c>
      <c r="D270" s="3">
        <v>21</v>
      </c>
      <c r="E270" s="3">
        <f t="shared" si="55"/>
        <v>2</v>
      </c>
      <c r="F270" s="4" t="str">
        <f>IF($E270=참조!$B$2,참조!$C$2,IF($E270=참조!$B$3,참조!$C$3,IF($E270=참조!$B$4,참조!$C$4,IF($E270=참조!$B$5,참조!$C$5,IF($E270=참조!$B$6,참조!$C$6,IF($E270=참조!$B$7,참조!$C$7,IF($E270=참조!$B$8,참조!$C$8,"")))))))</f>
        <v>月</v>
      </c>
      <c r="G270" s="4" t="str">
        <f>IF($F270=참조!$C$2,참조!$D$2,IF($F270=참조!$C$8,참조!$D$2,IF(COUNTIF('2026년휴일'!$B:$B,$B270)&gt;0,참조!$D$2,참조!$D$3)))</f>
        <v>休</v>
      </c>
      <c r="H270" s="31">
        <f>IF($G270=참조!$D$3,참조!$E$3,참조!$E$2)</f>
        <v>5000</v>
      </c>
      <c r="I270" s="31">
        <f>SUMIFS(지출기록_9월!$H$3:$H$314,지출기록_9월!$E$3:$E$314,B270,지출기록_9월!$F$3:$F$314,참조!$F$2)</f>
        <v>0</v>
      </c>
      <c r="J270" s="31">
        <f>SUMIFS(지출기록_9월!$H$3:$H$314,지출기록_9월!$E$3:$E$314,B270,지출기록_9월!$F$3:$F$314,참조!$F$3)</f>
        <v>0</v>
      </c>
      <c r="K270" s="31">
        <f t="shared" si="54"/>
        <v>0</v>
      </c>
      <c r="L270" s="31">
        <f t="shared" ca="1" si="57"/>
        <v>5000</v>
      </c>
      <c r="M270" s="31">
        <f t="shared" si="51"/>
        <v>5000</v>
      </c>
      <c r="N270" s="3">
        <f>SUM(K264:K270)</f>
        <v>0</v>
      </c>
    </row>
    <row r="271" spans="2:16" x14ac:dyDescent="0.3">
      <c r="B271" s="5">
        <f t="shared" si="56"/>
        <v>46287</v>
      </c>
      <c r="C271" s="3">
        <v>9</v>
      </c>
      <c r="D271" s="3">
        <v>22</v>
      </c>
      <c r="E271" s="3">
        <f t="shared" si="55"/>
        <v>3</v>
      </c>
      <c r="F271" s="4" t="str">
        <f>IF($E271=참조!$B$2,참조!$C$2,IF($E271=참조!$B$3,참조!$C$3,IF($E271=참조!$B$4,참조!$C$4,IF($E271=참조!$B$5,참조!$C$5,IF($E271=참조!$B$6,참조!$C$6,IF($E271=참조!$B$7,참조!$C$7,IF($E271=참조!$B$8,참조!$C$8,"")))))))</f>
        <v>火</v>
      </c>
      <c r="G271" s="4" t="str">
        <f>IF($F271=참조!$C$2,참조!$D$2,IF($F271=참조!$C$8,참조!$D$2,IF(COUNTIF('2026년휴일'!$B:$B,$B271)&gt;0,참조!$D$2,참조!$D$3)))</f>
        <v>休</v>
      </c>
      <c r="H271" s="31">
        <f>IF($G271=참조!$D$3,참조!$E$3,참조!$E$2)</f>
        <v>5000</v>
      </c>
      <c r="I271" s="31">
        <f>SUMIFS(지출기록_9월!$H$3:$H$314,지출기록_9월!$E$3:$E$314,B271,지출기록_9월!$F$3:$F$314,참조!$F$2)</f>
        <v>0</v>
      </c>
      <c r="J271" s="31">
        <f>SUMIFS(지출기록_9월!$H$3:$H$314,지출기록_9월!$E$3:$E$314,B271,지출기록_9월!$F$3:$F$314,참조!$F$3)</f>
        <v>0</v>
      </c>
      <c r="K271" s="31">
        <f t="shared" si="54"/>
        <v>0</v>
      </c>
      <c r="L271" s="31">
        <f t="shared" ca="1" si="57"/>
        <v>5000</v>
      </c>
      <c r="M271" s="31">
        <f t="shared" si="51"/>
        <v>5000</v>
      </c>
    </row>
    <row r="272" spans="2:16" x14ac:dyDescent="0.3">
      <c r="B272" s="5">
        <f t="shared" si="56"/>
        <v>46288</v>
      </c>
      <c r="C272" s="3">
        <v>9</v>
      </c>
      <c r="D272" s="3">
        <v>23</v>
      </c>
      <c r="E272" s="3">
        <f t="shared" si="55"/>
        <v>4</v>
      </c>
      <c r="F272" s="4" t="str">
        <f>IF($E272=참조!$B$2,참조!$C$2,IF($E272=참조!$B$3,참조!$C$3,IF($E272=참조!$B$4,참조!$C$4,IF($E272=참조!$B$5,참조!$C$5,IF($E272=참조!$B$6,참조!$C$6,IF($E272=참조!$B$7,참조!$C$7,IF($E272=참조!$B$8,참조!$C$8,"")))))))</f>
        <v>水</v>
      </c>
      <c r="G272" s="4" t="str">
        <f>IF($F272=참조!$C$2,참조!$D$2,IF($F272=참조!$C$8,참조!$D$2,IF(COUNTIF('2026년휴일'!$B:$B,$B272)&gt;0,참조!$D$2,참조!$D$3)))</f>
        <v>休</v>
      </c>
      <c r="H272" s="31">
        <f>IF($G272=참조!$D$3,참조!$E$3,참조!$E$2)</f>
        <v>5000</v>
      </c>
      <c r="I272" s="31">
        <f>SUMIFS(지출기록_9월!$H$3:$H$314,지출기록_9월!$E$3:$E$314,B272,지출기록_9월!$F$3:$F$314,참조!$F$2)</f>
        <v>0</v>
      </c>
      <c r="J272" s="31">
        <f>SUMIFS(지출기록_9월!$H$3:$H$314,지출기록_9월!$E$3:$E$314,B272,지출기록_9월!$F$3:$F$314,참조!$F$3)</f>
        <v>0</v>
      </c>
      <c r="K272" s="31">
        <f t="shared" si="54"/>
        <v>0</v>
      </c>
      <c r="L272" s="31">
        <f t="shared" ca="1" si="57"/>
        <v>5000</v>
      </c>
      <c r="M272" s="31">
        <f t="shared" si="51"/>
        <v>5000</v>
      </c>
    </row>
    <row r="273" spans="2:14" x14ac:dyDescent="0.3">
      <c r="B273" s="5">
        <f t="shared" si="56"/>
        <v>46289</v>
      </c>
      <c r="C273" s="3">
        <v>9</v>
      </c>
      <c r="D273" s="3">
        <v>24</v>
      </c>
      <c r="E273" s="3">
        <f t="shared" si="55"/>
        <v>5</v>
      </c>
      <c r="F273" s="4" t="str">
        <f>IF($E273=참조!$B$2,참조!$C$2,IF($E273=참조!$B$3,참조!$C$3,IF($E273=참조!$B$4,참조!$C$4,IF($E273=참조!$B$5,참조!$C$5,IF($E273=참조!$B$6,참조!$C$6,IF($E273=참조!$B$7,참조!$C$7,IF($E273=참조!$B$8,참조!$C$8,"")))))))</f>
        <v>木</v>
      </c>
      <c r="G273" s="4" t="str">
        <f>IF($F273=참조!$C$2,참조!$D$2,IF($F273=참조!$C$8,참조!$D$2,IF(COUNTIF('2026년휴일'!$B:$B,$B273)&gt;0,참조!$D$2,참조!$D$3)))</f>
        <v>勤</v>
      </c>
      <c r="H273" s="31">
        <f>IF($G273=참조!$D$3,참조!$E$3,참조!$E$2)</f>
        <v>1000</v>
      </c>
      <c r="I273" s="31">
        <f>SUMIFS(지출기록_9월!$H$3:$H$314,지출기록_9월!$E$3:$E$314,B273,지출기록_9월!$F$3:$F$314,참조!$F$2)</f>
        <v>0</v>
      </c>
      <c r="J273" s="31">
        <f>SUMIFS(지출기록_9월!$H$3:$H$314,지출기록_9월!$E$3:$E$314,B273,지출기록_9월!$F$3:$F$314,참조!$F$3)</f>
        <v>0</v>
      </c>
      <c r="K273" s="31">
        <f t="shared" si="54"/>
        <v>0</v>
      </c>
      <c r="L273" s="31">
        <f t="shared" ca="1" si="57"/>
        <v>1000</v>
      </c>
      <c r="M273" s="31">
        <f t="shared" si="51"/>
        <v>1000</v>
      </c>
    </row>
    <row r="274" spans="2:14" x14ac:dyDescent="0.3">
      <c r="B274" s="5">
        <f t="shared" si="56"/>
        <v>46290</v>
      </c>
      <c r="C274" s="3">
        <v>9</v>
      </c>
      <c r="D274" s="3">
        <v>25</v>
      </c>
      <c r="E274" s="3">
        <f t="shared" si="55"/>
        <v>6</v>
      </c>
      <c r="F274" s="4" t="str">
        <f>IF($E274=참조!$B$2,참조!$C$2,IF($E274=참조!$B$3,참조!$C$3,IF($E274=참조!$B$4,참조!$C$4,IF($E274=참조!$B$5,참조!$C$5,IF($E274=참조!$B$6,참조!$C$6,IF($E274=참조!$B$7,참조!$C$7,IF($E274=참조!$B$8,참조!$C$8,"")))))))</f>
        <v>金</v>
      </c>
      <c r="G274" s="4" t="str">
        <f>IF($F274=참조!$C$2,참조!$D$2,IF($F274=참조!$C$8,참조!$D$2,IF(COUNTIF('2026년휴일'!$B:$B,$B274)&gt;0,참조!$D$2,참조!$D$3)))</f>
        <v>勤</v>
      </c>
      <c r="H274" s="31">
        <f>IF($G274=참조!$D$3,참조!$E$3,참조!$E$2)</f>
        <v>1000</v>
      </c>
      <c r="I274" s="31">
        <f>SUMIFS(지출기록_9월!$H$3:$H$314,지출기록_9월!$E$3:$E$314,B274,지출기록_9월!$F$3:$F$314,참조!$F$2)</f>
        <v>0</v>
      </c>
      <c r="J274" s="31">
        <f>SUMIFS(지출기록_9월!$H$3:$H$314,지출기록_9월!$E$3:$E$314,B274,지출기록_9월!$F$3:$F$314,참조!$F$3)</f>
        <v>0</v>
      </c>
      <c r="K274" s="31">
        <f t="shared" si="54"/>
        <v>0</v>
      </c>
      <c r="L274" s="31">
        <f t="shared" ca="1" si="57"/>
        <v>1000</v>
      </c>
      <c r="M274" s="31">
        <f t="shared" si="51"/>
        <v>1000</v>
      </c>
    </row>
    <row r="275" spans="2:14" x14ac:dyDescent="0.3">
      <c r="B275" s="5">
        <f t="shared" si="56"/>
        <v>46291</v>
      </c>
      <c r="C275" s="3">
        <v>9</v>
      </c>
      <c r="D275" s="3">
        <v>26</v>
      </c>
      <c r="E275" s="3">
        <f t="shared" si="55"/>
        <v>7</v>
      </c>
      <c r="F275" s="4" t="str">
        <f>IF($E275=참조!$B$2,참조!$C$2,IF($E275=참조!$B$3,참조!$C$3,IF($E275=참조!$B$4,참조!$C$4,IF($E275=참조!$B$5,참조!$C$5,IF($E275=참조!$B$6,참조!$C$6,IF($E275=참조!$B$7,참조!$C$7,IF($E275=참조!$B$8,참조!$C$8,"")))))))</f>
        <v>土</v>
      </c>
      <c r="G275" s="4" t="str">
        <f>IF($F275=참조!$C$2,참조!$D$2,IF($F275=참조!$C$8,참조!$D$2,IF(COUNTIF('2026년휴일'!$B:$B,$B275)&gt;0,참조!$D$2,참조!$D$3)))</f>
        <v>休</v>
      </c>
      <c r="H275" s="31">
        <f>IF($G275=참조!$D$3,참조!$E$3,참조!$E$2)</f>
        <v>5000</v>
      </c>
      <c r="I275" s="31">
        <f>SUMIFS(지출기록_9월!$H$3:$H$314,지출기록_9월!$E$3:$E$314,B275,지출기록_9월!$F$3:$F$314,참조!$F$2)</f>
        <v>0</v>
      </c>
      <c r="J275" s="31">
        <f>SUMIFS(지출기록_9월!$H$3:$H$314,지출기록_9월!$E$3:$E$314,B275,지출기록_9월!$F$3:$F$314,참조!$F$3)</f>
        <v>0</v>
      </c>
      <c r="K275" s="31">
        <f t="shared" ref="K275" si="58">I275-J275</f>
        <v>0</v>
      </c>
      <c r="L275" s="31">
        <f t="shared" ca="1" si="57"/>
        <v>5000</v>
      </c>
      <c r="M275" s="31">
        <f t="shared" si="51"/>
        <v>5000</v>
      </c>
    </row>
    <row r="276" spans="2:14" x14ac:dyDescent="0.3">
      <c r="B276" s="5">
        <f t="shared" si="56"/>
        <v>46292</v>
      </c>
      <c r="C276" s="3">
        <v>9</v>
      </c>
      <c r="D276" s="3">
        <v>27</v>
      </c>
      <c r="E276" s="3">
        <f t="shared" si="55"/>
        <v>1</v>
      </c>
      <c r="F276" s="4" t="str">
        <f>IF($E276=참조!$B$2,참조!$C$2,IF($E276=참조!$B$3,참조!$C$3,IF($E276=참조!$B$4,참조!$C$4,IF($E276=참조!$B$5,참조!$C$5,IF($E276=참조!$B$6,참조!$C$6,IF($E276=참조!$B$7,참조!$C$7,IF($E276=참조!$B$8,참조!$C$8,"")))))))</f>
        <v>日</v>
      </c>
      <c r="G276" s="4" t="str">
        <f>IF($F276=참조!$C$2,참조!$D$2,IF($F276=참조!$C$8,참조!$D$2,IF(COUNTIF('2026년휴일'!$B:$B,$B276)&gt;0,참조!$D$2,참조!$D$3)))</f>
        <v>休</v>
      </c>
      <c r="H276" s="31">
        <f>IF($G276=참조!$D$3,참조!$E$3,참조!$E$2)</f>
        <v>5000</v>
      </c>
      <c r="I276" s="31">
        <f>SUMIFS(지출기록_9월!$H$3:$H$314,지출기록_9월!$E$3:$E$314,B276,지출기록_9월!$F$3:$F$314,참조!$F$2)</f>
        <v>0</v>
      </c>
      <c r="J276" s="31">
        <f>SUMIFS(지출기록_9월!$H$3:$H$314,지출기록_9월!$E$3:$E$314,B276,지출기록_9월!$F$3:$F$314,참조!$F$3)</f>
        <v>0</v>
      </c>
      <c r="K276" s="31">
        <f t="shared" ref="K276:K279" si="59">I276-J276</f>
        <v>0</v>
      </c>
      <c r="L276" s="31">
        <f t="shared" ca="1" si="57"/>
        <v>5000</v>
      </c>
      <c r="M276" s="31">
        <f t="shared" si="51"/>
        <v>5000</v>
      </c>
    </row>
    <row r="277" spans="2:14" x14ac:dyDescent="0.3">
      <c r="B277" s="5">
        <f t="shared" si="56"/>
        <v>46293</v>
      </c>
      <c r="C277" s="3">
        <v>9</v>
      </c>
      <c r="D277" s="3">
        <v>28</v>
      </c>
      <c r="E277" s="3">
        <f t="shared" si="55"/>
        <v>2</v>
      </c>
      <c r="F277" s="4" t="str">
        <f>IF($E277=참조!$B$2,참조!$C$2,IF($E277=참조!$B$3,참조!$C$3,IF($E277=참조!$B$4,참조!$C$4,IF($E277=참조!$B$5,참조!$C$5,IF($E277=참조!$B$6,참조!$C$6,IF($E277=참조!$B$7,참조!$C$7,IF($E277=참조!$B$8,참조!$C$8,"")))))))</f>
        <v>月</v>
      </c>
      <c r="G277" s="4" t="str">
        <f>IF($F277=참조!$C$2,참조!$D$2,IF($F277=참조!$C$8,참조!$D$2,IF(COUNTIF('2026년휴일'!$B:$B,$B277)&gt;0,참조!$D$2,참조!$D$3)))</f>
        <v>勤</v>
      </c>
      <c r="H277" s="31">
        <f>IF($G277=참조!$D$3,참조!$E$3,참조!$E$2)</f>
        <v>1000</v>
      </c>
      <c r="I277" s="31">
        <f>SUMIFS(지출기록_9월!$H$3:$H$314,지출기록_9월!$E$3:$E$314,B277,지출기록_9월!$F$3:$F$314,참조!$F$2)</f>
        <v>0</v>
      </c>
      <c r="J277" s="31">
        <f>SUMIFS(지출기록_9월!$H$3:$H$314,지출기록_9월!$E$3:$E$314,B277,지출기록_9월!$F$3:$F$314,참조!$F$3)</f>
        <v>0</v>
      </c>
      <c r="K277" s="31">
        <f t="shared" si="59"/>
        <v>0</v>
      </c>
      <c r="L277" s="31">
        <f t="shared" ca="1" si="57"/>
        <v>1000</v>
      </c>
      <c r="M277" s="31">
        <f t="shared" si="51"/>
        <v>1000</v>
      </c>
      <c r="N277" s="3">
        <f>SUM(K271:K277)</f>
        <v>0</v>
      </c>
    </row>
    <row r="278" spans="2:14" x14ac:dyDescent="0.3">
      <c r="B278" s="5">
        <f t="shared" si="56"/>
        <v>46294</v>
      </c>
      <c r="C278" s="3">
        <v>9</v>
      </c>
      <c r="D278" s="3">
        <v>29</v>
      </c>
      <c r="E278" s="3">
        <f t="shared" si="55"/>
        <v>3</v>
      </c>
      <c r="F278" s="4" t="str">
        <f>IF($E278=참조!$B$2,참조!$C$2,IF($E278=참조!$B$3,참조!$C$3,IF($E278=참조!$B$4,참조!$C$4,IF($E278=참조!$B$5,참조!$C$5,IF($E278=참조!$B$6,참조!$C$6,IF($E278=참조!$B$7,참조!$C$7,IF($E278=참조!$B$8,참조!$C$8,"")))))))</f>
        <v>火</v>
      </c>
      <c r="G278" s="4" t="str">
        <f>IF($F278=참조!$C$2,참조!$D$2,IF($F278=참조!$C$8,참조!$D$2,IF(COUNTIF('2026년휴일'!$B:$B,$B278)&gt;0,참조!$D$2,참조!$D$3)))</f>
        <v>勤</v>
      </c>
      <c r="H278" s="31">
        <f>IF($G278=참조!$D$3,참조!$E$3,참조!$E$2)</f>
        <v>1000</v>
      </c>
      <c r="I278" s="31">
        <f>SUMIFS(지출기록_9월!$H$3:$H$314,지출기록_9월!$E$3:$E$314,B278,지출기록_9월!$F$3:$F$314,참조!$F$2)</f>
        <v>0</v>
      </c>
      <c r="J278" s="31">
        <f>SUMIFS(지출기록_9월!$H$3:$H$314,지출기록_9월!$E$3:$E$314,B278,지출기록_9월!$F$3:$F$314,참조!$F$3)</f>
        <v>0</v>
      </c>
      <c r="K278" s="31">
        <f t="shared" si="59"/>
        <v>0</v>
      </c>
      <c r="L278" s="31">
        <f t="shared" ca="1" si="57"/>
        <v>1000</v>
      </c>
      <c r="M278" s="31">
        <f t="shared" si="51"/>
        <v>1000</v>
      </c>
    </row>
    <row r="279" spans="2:14" x14ac:dyDescent="0.3">
      <c r="B279" s="5">
        <f t="shared" si="56"/>
        <v>46295</v>
      </c>
      <c r="C279" s="3">
        <v>9</v>
      </c>
      <c r="D279" s="3">
        <v>30</v>
      </c>
      <c r="E279" s="3">
        <f t="shared" si="55"/>
        <v>4</v>
      </c>
      <c r="F279" s="4" t="str">
        <f>IF($E279=참조!$B$2,참조!$C$2,IF($E279=참조!$B$3,참조!$C$3,IF($E279=참조!$B$4,참조!$C$4,IF($E279=참조!$B$5,참조!$C$5,IF($E279=참조!$B$6,참조!$C$6,IF($E279=참조!$B$7,참조!$C$7,IF($E279=참조!$B$8,참조!$C$8,"")))))))</f>
        <v>水</v>
      </c>
      <c r="G279" s="4" t="str">
        <f>IF($F279=참조!$C$2,참조!$D$2,IF($F279=참조!$C$8,참조!$D$2,IF(COUNTIF('2026년휴일'!$B:$B,$B279)&gt;0,참조!$D$2,참조!$D$3)))</f>
        <v>勤</v>
      </c>
      <c r="H279" s="31">
        <f>IF($G279=참조!$D$3,참조!$E$3,참조!$E$2)</f>
        <v>1000</v>
      </c>
      <c r="I279" s="31">
        <f>SUMIFS(지출기록_9월!$H$3:$H$314,지출기록_9월!$E$3:$E$314,B279,지출기록_9월!$F$3:$F$314,참조!$F$2)</f>
        <v>0</v>
      </c>
      <c r="J279" s="31">
        <f>SUMIFS(지출기록_9월!$H$3:$H$314,지출기록_9월!$E$3:$E$314,B279,지출기록_9월!$F$3:$F$314,참조!$F$3)</f>
        <v>0</v>
      </c>
      <c r="K279" s="31">
        <f t="shared" si="59"/>
        <v>0</v>
      </c>
      <c r="L279" s="31">
        <f t="shared" ca="1" si="57"/>
        <v>1000</v>
      </c>
      <c r="M279" s="31">
        <f t="shared" si="51"/>
        <v>1000</v>
      </c>
    </row>
    <row r="280" spans="2:14" x14ac:dyDescent="0.3">
      <c r="B280" s="5">
        <f t="shared" si="56"/>
        <v>46296</v>
      </c>
      <c r="C280" s="3">
        <v>10</v>
      </c>
      <c r="D280" s="3">
        <v>1</v>
      </c>
      <c r="E280" s="3">
        <f t="shared" si="55"/>
        <v>5</v>
      </c>
      <c r="F280" s="4" t="str">
        <f>IF($E280=참조!$B$2,참조!$C$2,IF($E280=참조!$B$3,참조!$C$3,IF($E280=참조!$B$4,참조!$C$4,IF($E280=참조!$B$5,참조!$C$5,IF($E280=참조!$B$6,참조!$C$6,IF($E280=참조!$B$7,참조!$C$7,IF($E280=참조!$B$8,참조!$C$8,"")))))))</f>
        <v>木</v>
      </c>
      <c r="G280" s="4" t="str">
        <f>IF($F280=참조!$C$2,참조!$D$2,IF($F280=참조!$C$8,참조!$D$2,IF(COUNTIF('2026년휴일'!$B:$B,$B280)&gt;0,참조!$D$2,참조!$D$3)))</f>
        <v>勤</v>
      </c>
      <c r="H280" s="31">
        <f>IF($G280=참조!$D$3,참조!$E$3,참조!$E$2)</f>
        <v>1000</v>
      </c>
      <c r="I280" s="31">
        <f>SUMIFS(지출기록_10월!$H$3:$H$314,지출기록_10월!$E$3:$E$314,B280,지출기록_10월!$F$3:$F$314,참조!$F$2)</f>
        <v>0</v>
      </c>
      <c r="J280" s="31">
        <f>SUMIFS(지출기록_10월!$H$3:$H$314,지출기록_10월!$E$3:$E$314,B280,지출기록_10월!$F$3:$F$314,참조!$F$3)</f>
        <v>0</v>
      </c>
      <c r="K280" s="31">
        <f t="shared" ref="K280" si="60">I280-J280</f>
        <v>0</v>
      </c>
      <c r="L280" s="31">
        <f t="shared" ca="1" si="57"/>
        <v>1000</v>
      </c>
      <c r="M280" s="31">
        <f t="shared" si="51"/>
        <v>1000</v>
      </c>
    </row>
    <row r="281" spans="2:14" x14ac:dyDescent="0.3">
      <c r="B281" s="5">
        <f t="shared" si="56"/>
        <v>46297</v>
      </c>
      <c r="C281" s="3">
        <v>10</v>
      </c>
      <c r="D281" s="3">
        <v>2</v>
      </c>
      <c r="E281" s="3">
        <f t="shared" si="55"/>
        <v>6</v>
      </c>
      <c r="F281" s="4" t="str">
        <f>IF($E281=참조!$B$2,참조!$C$2,IF($E281=참조!$B$3,참조!$C$3,IF($E281=참조!$B$4,참조!$C$4,IF($E281=참조!$B$5,참조!$C$5,IF($E281=참조!$B$6,참조!$C$6,IF($E281=참조!$B$7,참조!$C$7,IF($E281=참조!$B$8,참조!$C$8,"")))))))</f>
        <v>金</v>
      </c>
      <c r="G281" s="4" t="str">
        <f>IF($F281=참조!$C$2,참조!$D$2,IF($F281=참조!$C$8,참조!$D$2,IF(COUNTIF('2026년휴일'!$B:$B,$B281)&gt;0,참조!$D$2,참조!$D$3)))</f>
        <v>勤</v>
      </c>
      <c r="H281" s="31">
        <f>IF($G281=참조!$D$3,참조!$E$3,참조!$E$2)</f>
        <v>1000</v>
      </c>
      <c r="I281" s="31">
        <f>SUMIFS(지출기록_10월!$H$3:$H$314,지출기록_10월!$E$3:$E$314,B281,지출기록_10월!$F$3:$F$314,참조!$F$2)</f>
        <v>0</v>
      </c>
      <c r="J281" s="31">
        <f>SUMIFS(지출기록_10월!$H$3:$H$314,지출기록_10월!$E$3:$E$314,B281,지출기록_10월!$F$3:$F$314,참조!$F$3)</f>
        <v>0</v>
      </c>
      <c r="K281" s="31">
        <f t="shared" ref="K281:K282" si="61">I281-J281</f>
        <v>0</v>
      </c>
      <c r="L281" s="31">
        <f t="shared" ca="1" si="57"/>
        <v>1000</v>
      </c>
      <c r="M281" s="31">
        <f t="shared" si="51"/>
        <v>1000</v>
      </c>
    </row>
    <row r="282" spans="2:14" x14ac:dyDescent="0.3">
      <c r="B282" s="5">
        <f t="shared" si="56"/>
        <v>46298</v>
      </c>
      <c r="C282" s="3">
        <v>10</v>
      </c>
      <c r="D282" s="3">
        <v>3</v>
      </c>
      <c r="E282" s="3">
        <f t="shared" si="55"/>
        <v>7</v>
      </c>
      <c r="F282" s="4" t="str">
        <f>IF($E282=참조!$B$2,참조!$C$2,IF($E282=참조!$B$3,참조!$C$3,IF($E282=참조!$B$4,참조!$C$4,IF($E282=참조!$B$5,참조!$C$5,IF($E282=참조!$B$6,참조!$C$6,IF($E282=참조!$B$7,참조!$C$7,IF($E282=참조!$B$8,참조!$C$8,"")))))))</f>
        <v>土</v>
      </c>
      <c r="G282" s="4" t="str">
        <f>IF($F282=참조!$C$2,참조!$D$2,IF($F282=참조!$C$8,참조!$D$2,IF(COUNTIF('2026년휴일'!$B:$B,$B282)&gt;0,참조!$D$2,참조!$D$3)))</f>
        <v>休</v>
      </c>
      <c r="H282" s="31">
        <f>IF($G282=참조!$D$3,참조!$E$3,참조!$E$2)</f>
        <v>5000</v>
      </c>
      <c r="I282" s="31">
        <f>SUMIFS(지출기록_10월!$H$3:$H$314,지출기록_10월!$E$3:$E$314,B282,지출기록_10월!$F$3:$F$314,참조!$F$2)</f>
        <v>0</v>
      </c>
      <c r="J282" s="31">
        <f>SUMIFS(지출기록_10월!$H$3:$H$314,지출기록_10월!$E$3:$E$314,B282,지출기록_10월!$F$3:$F$314,참조!$F$3)</f>
        <v>0</v>
      </c>
      <c r="K282" s="31">
        <f t="shared" si="61"/>
        <v>0</v>
      </c>
      <c r="L282" s="31">
        <f t="shared" ca="1" si="57"/>
        <v>5000</v>
      </c>
      <c r="M282" s="31">
        <f t="shared" si="51"/>
        <v>5000</v>
      </c>
    </row>
    <row r="283" spans="2:14" x14ac:dyDescent="0.3">
      <c r="B283" s="5">
        <f t="shared" si="56"/>
        <v>46299</v>
      </c>
      <c r="C283" s="3">
        <v>10</v>
      </c>
      <c r="D283" s="3">
        <v>4</v>
      </c>
      <c r="E283" s="3">
        <f t="shared" si="55"/>
        <v>1</v>
      </c>
      <c r="F283" s="4" t="str">
        <f>IF($E283=참조!$B$2,참조!$C$2,IF($E283=참조!$B$3,참조!$C$3,IF($E283=참조!$B$4,참조!$C$4,IF($E283=참조!$B$5,참조!$C$5,IF($E283=참조!$B$6,참조!$C$6,IF($E283=참조!$B$7,참조!$C$7,IF($E283=참조!$B$8,참조!$C$8,"")))))))</f>
        <v>日</v>
      </c>
      <c r="G283" s="4" t="str">
        <f>IF($F283=참조!$C$2,참조!$D$2,IF($F283=참조!$C$8,참조!$D$2,IF(COUNTIF('2026년휴일'!$B:$B,$B283)&gt;0,참조!$D$2,참조!$D$3)))</f>
        <v>休</v>
      </c>
      <c r="H283" s="31">
        <f>IF($G283=참조!$D$3,참조!$E$3,참조!$E$2)</f>
        <v>5000</v>
      </c>
      <c r="I283" s="31">
        <f>SUMIFS(지출기록_10월!$H$3:$H$314,지출기록_10월!$E$3:$E$314,B283,지출기록_10월!$F$3:$F$314,참조!$F$2)</f>
        <v>0</v>
      </c>
      <c r="J283" s="31">
        <f>SUMIFS(지출기록_10월!$H$3:$H$314,지출기록_10월!$E$3:$E$314,B283,지출기록_10월!$F$3:$F$314,참조!$F$3)</f>
        <v>0</v>
      </c>
      <c r="K283" s="31">
        <f t="shared" ref="K283:K286" si="62">I283-J283</f>
        <v>0</v>
      </c>
      <c r="L283" s="31">
        <f t="shared" ca="1" si="57"/>
        <v>5000</v>
      </c>
      <c r="M283" s="31">
        <f t="shared" si="51"/>
        <v>5000</v>
      </c>
    </row>
    <row r="284" spans="2:14" x14ac:dyDescent="0.3">
      <c r="B284" s="5">
        <f t="shared" si="56"/>
        <v>46300</v>
      </c>
      <c r="C284" s="3">
        <v>10</v>
      </c>
      <c r="D284" s="3">
        <v>5</v>
      </c>
      <c r="E284" s="3">
        <f t="shared" si="55"/>
        <v>2</v>
      </c>
      <c r="F284" s="4" t="str">
        <f>IF($E284=참조!$B$2,참조!$C$2,IF($E284=참조!$B$3,참조!$C$3,IF($E284=참조!$B$4,참조!$C$4,IF($E284=참조!$B$5,참조!$C$5,IF($E284=참조!$B$6,참조!$C$6,IF($E284=참조!$B$7,참조!$C$7,IF($E284=참조!$B$8,참조!$C$8,"")))))))</f>
        <v>月</v>
      </c>
      <c r="G284" s="4" t="str">
        <f>IF($F284=참조!$C$2,참조!$D$2,IF($F284=참조!$C$8,참조!$D$2,IF(COUNTIF('2026년휴일'!$B:$B,$B284)&gt;0,참조!$D$2,참조!$D$3)))</f>
        <v>勤</v>
      </c>
      <c r="H284" s="31">
        <f>IF($G284=참조!$D$3,참조!$E$3,참조!$E$2)</f>
        <v>1000</v>
      </c>
      <c r="I284" s="31">
        <f>SUMIFS(지출기록_10월!$H$3:$H$314,지출기록_10월!$E$3:$E$314,B284,지출기록_10월!$F$3:$F$314,참조!$F$2)</f>
        <v>0</v>
      </c>
      <c r="J284" s="31">
        <f>SUMIFS(지출기록_10월!$H$3:$H$314,지출기록_10월!$E$3:$E$314,B284,지출기록_10월!$F$3:$F$314,참조!$F$3)</f>
        <v>0</v>
      </c>
      <c r="K284" s="31">
        <f t="shared" si="62"/>
        <v>0</v>
      </c>
      <c r="L284" s="31">
        <f t="shared" ca="1" si="57"/>
        <v>1000</v>
      </c>
      <c r="M284" s="31">
        <f t="shared" si="51"/>
        <v>1000</v>
      </c>
      <c r="N284" s="3">
        <f>SUM(K278:K284)</f>
        <v>0</v>
      </c>
    </row>
    <row r="285" spans="2:14" x14ac:dyDescent="0.3">
      <c r="B285" s="5">
        <f t="shared" si="56"/>
        <v>46301</v>
      </c>
      <c r="C285" s="3">
        <v>10</v>
      </c>
      <c r="D285" s="3">
        <v>6</v>
      </c>
      <c r="E285" s="3">
        <f t="shared" si="55"/>
        <v>3</v>
      </c>
      <c r="F285" s="4" t="str">
        <f>IF($E285=참조!$B$2,참조!$C$2,IF($E285=참조!$B$3,참조!$C$3,IF($E285=참조!$B$4,참조!$C$4,IF($E285=참조!$B$5,참조!$C$5,IF($E285=참조!$B$6,참조!$C$6,IF($E285=참조!$B$7,참조!$C$7,IF($E285=참조!$B$8,참조!$C$8,"")))))))</f>
        <v>火</v>
      </c>
      <c r="G285" s="4" t="str">
        <f>IF($F285=참조!$C$2,참조!$D$2,IF($F285=참조!$C$8,참조!$D$2,IF(COUNTIF('2026년휴일'!$B:$B,$B285)&gt;0,참조!$D$2,참조!$D$3)))</f>
        <v>勤</v>
      </c>
      <c r="H285" s="31">
        <f>IF($G285=참조!$D$3,참조!$E$3,참조!$E$2)</f>
        <v>1000</v>
      </c>
      <c r="I285" s="31">
        <f>SUMIFS(지출기록_10월!$H$3:$H$314,지출기록_10월!$E$3:$E$314,B285,지출기록_10월!$F$3:$F$314,참조!$F$2)</f>
        <v>0</v>
      </c>
      <c r="J285" s="31">
        <f>SUMIFS(지출기록_10월!$H$3:$H$314,지출기록_10월!$E$3:$E$314,B285,지출기록_10월!$F$3:$F$314,참조!$F$3)</f>
        <v>0</v>
      </c>
      <c r="K285" s="31">
        <f t="shared" si="62"/>
        <v>0</v>
      </c>
      <c r="L285" s="31">
        <f t="shared" ca="1" si="57"/>
        <v>1000</v>
      </c>
      <c r="M285" s="31">
        <f t="shared" si="51"/>
        <v>1000</v>
      </c>
    </row>
    <row r="286" spans="2:14" x14ac:dyDescent="0.3">
      <c r="B286" s="5">
        <f t="shared" si="56"/>
        <v>46302</v>
      </c>
      <c r="C286" s="3">
        <v>10</v>
      </c>
      <c r="D286" s="3">
        <v>7</v>
      </c>
      <c r="E286" s="3">
        <f t="shared" si="55"/>
        <v>4</v>
      </c>
      <c r="F286" s="4" t="str">
        <f>IF($E286=참조!$B$2,참조!$C$2,IF($E286=참조!$B$3,참조!$C$3,IF($E286=참조!$B$4,참조!$C$4,IF($E286=참조!$B$5,참조!$C$5,IF($E286=참조!$B$6,참조!$C$6,IF($E286=참조!$B$7,참조!$C$7,IF($E286=참조!$B$8,참조!$C$8,"")))))))</f>
        <v>水</v>
      </c>
      <c r="G286" s="4" t="str">
        <f>IF($F286=참조!$C$2,참조!$D$2,IF($F286=참조!$C$8,참조!$D$2,IF(COUNTIF('2026년휴일'!$B:$B,$B286)&gt;0,참조!$D$2,참조!$D$3)))</f>
        <v>勤</v>
      </c>
      <c r="H286" s="31">
        <f>IF($G286=참조!$D$3,참조!$E$3,참조!$E$2)</f>
        <v>1000</v>
      </c>
      <c r="I286" s="31">
        <f>SUMIFS(지출기록_10월!$H$3:$H$314,지출기록_10월!$E$3:$E$314,B286,지출기록_10월!$F$3:$F$314,참조!$F$2)</f>
        <v>0</v>
      </c>
      <c r="J286" s="31">
        <f>SUMIFS(지출기록_10월!$H$3:$H$314,지출기록_10월!$E$3:$E$314,B286,지출기록_10월!$F$3:$F$314,참조!$F$3)</f>
        <v>0</v>
      </c>
      <c r="K286" s="31">
        <f t="shared" si="62"/>
        <v>0</v>
      </c>
      <c r="L286" s="31">
        <f t="shared" ca="1" si="57"/>
        <v>1000</v>
      </c>
      <c r="M286" s="31">
        <f t="shared" si="51"/>
        <v>1000</v>
      </c>
    </row>
    <row r="287" spans="2:14" x14ac:dyDescent="0.3">
      <c r="B287" s="5">
        <f t="shared" si="56"/>
        <v>46303</v>
      </c>
      <c r="C287" s="3">
        <v>10</v>
      </c>
      <c r="D287" s="3">
        <v>8</v>
      </c>
      <c r="E287" s="3">
        <f t="shared" si="55"/>
        <v>5</v>
      </c>
      <c r="F287" s="4" t="str">
        <f>IF($E287=참조!$B$2,참조!$C$2,IF($E287=참조!$B$3,참조!$C$3,IF($E287=참조!$B$4,참조!$C$4,IF($E287=참조!$B$5,참조!$C$5,IF($E287=참조!$B$6,참조!$C$6,IF($E287=참조!$B$7,참조!$C$7,IF($E287=참조!$B$8,참조!$C$8,"")))))))</f>
        <v>木</v>
      </c>
      <c r="G287" s="4" t="str">
        <f>IF($F287=참조!$C$2,참조!$D$2,IF($F287=참조!$C$8,참조!$D$2,IF(COUNTIF('2026년휴일'!$B:$B,$B287)&gt;0,참조!$D$2,참조!$D$3)))</f>
        <v>勤</v>
      </c>
      <c r="H287" s="31">
        <f>IF($G287=참조!$D$3,참조!$E$3,참조!$E$2)</f>
        <v>1000</v>
      </c>
      <c r="I287" s="31">
        <f>SUMIFS(지출기록_10월!$H$3:$H$314,지출기록_10월!$E$3:$E$314,B287,지출기록_10월!$F$3:$F$314,참조!$F$2)</f>
        <v>0</v>
      </c>
      <c r="J287" s="31">
        <f>SUMIFS(지출기록_10월!$H$3:$H$314,지출기록_10월!$E$3:$E$314,B287,지출기록_10월!$F$3:$F$314,참조!$F$3)</f>
        <v>0</v>
      </c>
      <c r="K287" s="31">
        <f t="shared" ref="K287:K294" si="63">I287-J287</f>
        <v>0</v>
      </c>
      <c r="L287" s="31">
        <f t="shared" ca="1" si="57"/>
        <v>1000</v>
      </c>
      <c r="M287" s="31">
        <f t="shared" si="51"/>
        <v>1000</v>
      </c>
    </row>
    <row r="288" spans="2:14" x14ac:dyDescent="0.3">
      <c r="B288" s="5">
        <f t="shared" si="56"/>
        <v>46304</v>
      </c>
      <c r="C288" s="3">
        <v>10</v>
      </c>
      <c r="D288" s="3">
        <v>9</v>
      </c>
      <c r="E288" s="3">
        <f t="shared" si="55"/>
        <v>6</v>
      </c>
      <c r="F288" s="4" t="str">
        <f>IF($E288=참조!$B$2,참조!$C$2,IF($E288=참조!$B$3,참조!$C$3,IF($E288=참조!$B$4,참조!$C$4,IF($E288=참조!$B$5,참조!$C$5,IF($E288=참조!$B$6,참조!$C$6,IF($E288=참조!$B$7,참조!$C$7,IF($E288=참조!$B$8,참조!$C$8,"")))))))</f>
        <v>金</v>
      </c>
      <c r="G288" s="4" t="str">
        <f>IF($F288=참조!$C$2,참조!$D$2,IF($F288=참조!$C$8,참조!$D$2,IF(COUNTIF('2026년휴일'!$B:$B,$B288)&gt;0,참조!$D$2,참조!$D$3)))</f>
        <v>勤</v>
      </c>
      <c r="H288" s="31">
        <f>IF($G288=참조!$D$3,참조!$E$3,참조!$E$2)</f>
        <v>1000</v>
      </c>
      <c r="I288" s="31">
        <f>SUMIFS(지출기록_10월!$H$3:$H$314,지출기록_10월!$E$3:$E$314,B288,지출기록_10월!$F$3:$F$314,참조!$F$2)</f>
        <v>0</v>
      </c>
      <c r="J288" s="31">
        <f>SUMIFS(지출기록_10월!$H$3:$H$314,지출기록_10월!$E$3:$E$314,B288,지출기록_10월!$F$3:$F$314,참조!$F$3)</f>
        <v>0</v>
      </c>
      <c r="K288" s="31">
        <f t="shared" si="63"/>
        <v>0</v>
      </c>
      <c r="L288" s="31">
        <f t="shared" ca="1" si="57"/>
        <v>1000</v>
      </c>
      <c r="M288" s="31">
        <f t="shared" si="51"/>
        <v>1000</v>
      </c>
    </row>
    <row r="289" spans="2:14" x14ac:dyDescent="0.3">
      <c r="B289" s="5">
        <f t="shared" si="56"/>
        <v>46305</v>
      </c>
      <c r="C289" s="3">
        <v>10</v>
      </c>
      <c r="D289" s="3">
        <v>10</v>
      </c>
      <c r="E289" s="3">
        <f t="shared" si="55"/>
        <v>7</v>
      </c>
      <c r="F289" s="4" t="str">
        <f>IF($E289=참조!$B$2,참조!$C$2,IF($E289=참조!$B$3,참조!$C$3,IF($E289=참조!$B$4,참조!$C$4,IF($E289=참조!$B$5,참조!$C$5,IF($E289=참조!$B$6,참조!$C$6,IF($E289=참조!$B$7,참조!$C$7,IF($E289=참조!$B$8,참조!$C$8,"")))))))</f>
        <v>土</v>
      </c>
      <c r="G289" s="4" t="str">
        <f>IF($F289=참조!$C$2,참조!$D$2,IF($F289=참조!$C$8,참조!$D$2,IF(COUNTIF('2026년휴일'!$B:$B,$B289)&gt;0,참조!$D$2,참조!$D$3)))</f>
        <v>休</v>
      </c>
      <c r="H289" s="31">
        <f>IF($G289=참조!$D$3,참조!$E$3,참조!$E$2)</f>
        <v>5000</v>
      </c>
      <c r="I289" s="31">
        <f>SUMIFS(지출기록_10월!$H$3:$H$314,지출기록_10월!$E$3:$E$314,B289,지출기록_10월!$F$3:$F$314,참조!$F$2)</f>
        <v>0</v>
      </c>
      <c r="J289" s="31">
        <f>SUMIFS(지출기록_10월!$H$3:$H$314,지출기록_10월!$E$3:$E$314,B289,지출기록_10월!$F$3:$F$314,참조!$F$3)</f>
        <v>0</v>
      </c>
      <c r="K289" s="31">
        <f t="shared" si="63"/>
        <v>0</v>
      </c>
      <c r="L289" s="31">
        <f t="shared" ca="1" si="57"/>
        <v>5000</v>
      </c>
      <c r="M289" s="31">
        <f t="shared" si="51"/>
        <v>5000</v>
      </c>
    </row>
    <row r="290" spans="2:14" x14ac:dyDescent="0.3">
      <c r="B290" s="5">
        <f t="shared" si="56"/>
        <v>46306</v>
      </c>
      <c r="C290" s="3">
        <v>10</v>
      </c>
      <c r="D290" s="3">
        <v>11</v>
      </c>
      <c r="E290" s="3">
        <f t="shared" si="55"/>
        <v>1</v>
      </c>
      <c r="F290" s="4" t="str">
        <f>IF($E290=참조!$B$2,참조!$C$2,IF($E290=참조!$B$3,참조!$C$3,IF($E290=참조!$B$4,참조!$C$4,IF($E290=참조!$B$5,참조!$C$5,IF($E290=참조!$B$6,참조!$C$6,IF($E290=참조!$B$7,참조!$C$7,IF($E290=참조!$B$8,참조!$C$8,"")))))))</f>
        <v>日</v>
      </c>
      <c r="G290" s="4" t="str">
        <f>IF($F290=참조!$C$2,참조!$D$2,IF($F290=참조!$C$8,참조!$D$2,IF(COUNTIF('2026년휴일'!$B:$B,$B290)&gt;0,참조!$D$2,참조!$D$3)))</f>
        <v>休</v>
      </c>
      <c r="H290" s="31">
        <f>IF($G290=참조!$D$3,참조!$E$3,참조!$E$2)</f>
        <v>5000</v>
      </c>
      <c r="I290" s="31">
        <f>SUMIFS(지출기록_10월!$H$3:$H$314,지출기록_10월!$E$3:$E$314,B290,지출기록_10월!$F$3:$F$314,참조!$F$2)</f>
        <v>0</v>
      </c>
      <c r="J290" s="31">
        <f>SUMIFS(지출기록_10월!$H$3:$H$314,지출기록_10월!$E$3:$E$314,B290,지출기록_10월!$F$3:$F$314,참조!$F$3)</f>
        <v>0</v>
      </c>
      <c r="K290" s="31">
        <f t="shared" si="63"/>
        <v>0</v>
      </c>
      <c r="L290" s="31">
        <f t="shared" ca="1" si="57"/>
        <v>5000</v>
      </c>
      <c r="M290" s="31">
        <f t="shared" si="51"/>
        <v>5000</v>
      </c>
    </row>
    <row r="291" spans="2:14" x14ac:dyDescent="0.3">
      <c r="B291" s="5">
        <f t="shared" si="56"/>
        <v>46307</v>
      </c>
      <c r="C291" s="3">
        <v>10</v>
      </c>
      <c r="D291" s="3">
        <v>12</v>
      </c>
      <c r="E291" s="3">
        <f t="shared" si="55"/>
        <v>2</v>
      </c>
      <c r="F291" s="4" t="str">
        <f>IF($E291=참조!$B$2,참조!$C$2,IF($E291=참조!$B$3,참조!$C$3,IF($E291=참조!$B$4,참조!$C$4,IF($E291=참조!$B$5,참조!$C$5,IF($E291=참조!$B$6,참조!$C$6,IF($E291=참조!$B$7,참조!$C$7,IF($E291=참조!$B$8,참조!$C$8,"")))))))</f>
        <v>月</v>
      </c>
      <c r="G291" s="4" t="str">
        <f>IF($F291=참조!$C$2,참조!$D$2,IF($F291=참조!$C$8,참조!$D$2,IF(COUNTIF('2026년휴일'!$B:$B,$B291)&gt;0,참조!$D$2,참조!$D$3)))</f>
        <v>休</v>
      </c>
      <c r="H291" s="31">
        <f>IF($G291=참조!$D$3,참조!$E$3,참조!$E$2)</f>
        <v>5000</v>
      </c>
      <c r="I291" s="31">
        <f>SUMIFS(지출기록_10월!$H$3:$H$314,지출기록_10월!$E$3:$E$314,B291,지출기록_10월!$F$3:$F$314,참조!$F$2)</f>
        <v>0</v>
      </c>
      <c r="J291" s="31">
        <f>SUMIFS(지출기록_10월!$H$3:$H$314,지출기록_10월!$E$3:$E$314,B291,지출기록_10월!$F$3:$F$314,참조!$F$3)</f>
        <v>0</v>
      </c>
      <c r="K291" s="31">
        <f t="shared" si="63"/>
        <v>0</v>
      </c>
      <c r="L291" s="31">
        <f t="shared" ca="1" si="57"/>
        <v>5000</v>
      </c>
      <c r="M291" s="31">
        <f t="shared" si="51"/>
        <v>5000</v>
      </c>
      <c r="N291" s="3">
        <f>SUM(K285:K291)</f>
        <v>0</v>
      </c>
    </row>
    <row r="292" spans="2:14" x14ac:dyDescent="0.3">
      <c r="B292" s="5">
        <f t="shared" si="56"/>
        <v>46308</v>
      </c>
      <c r="C292" s="3">
        <v>10</v>
      </c>
      <c r="D292" s="3">
        <v>13</v>
      </c>
      <c r="E292" s="3">
        <f t="shared" si="55"/>
        <v>3</v>
      </c>
      <c r="F292" s="4" t="str">
        <f>IF($E292=참조!$B$2,참조!$C$2,IF($E292=참조!$B$3,참조!$C$3,IF($E292=참조!$B$4,참조!$C$4,IF($E292=참조!$B$5,참조!$C$5,IF($E292=참조!$B$6,참조!$C$6,IF($E292=참조!$B$7,참조!$C$7,IF($E292=참조!$B$8,참조!$C$8,"")))))))</f>
        <v>火</v>
      </c>
      <c r="G292" s="4" t="str">
        <f>IF($F292=참조!$C$2,참조!$D$2,IF($F292=참조!$C$8,참조!$D$2,IF(COUNTIF('2026년휴일'!$B:$B,$B292)&gt;0,참조!$D$2,참조!$D$3)))</f>
        <v>勤</v>
      </c>
      <c r="H292" s="31">
        <f>IF($G292=참조!$D$3,참조!$E$3,참조!$E$2)</f>
        <v>1000</v>
      </c>
      <c r="I292" s="31">
        <f>SUMIFS(지출기록_10월!$H$3:$H$314,지출기록_10월!$E$3:$E$314,B292,지출기록_10월!$F$3:$F$314,참조!$F$2)</f>
        <v>0</v>
      </c>
      <c r="J292" s="31">
        <f>SUMIFS(지출기록_10월!$H$3:$H$314,지출기록_10월!$E$3:$E$314,B292,지출기록_10월!$F$3:$F$314,참조!$F$3)</f>
        <v>0</v>
      </c>
      <c r="K292" s="31">
        <f t="shared" si="63"/>
        <v>0</v>
      </c>
      <c r="L292" s="31">
        <f t="shared" ca="1" si="57"/>
        <v>1000</v>
      </c>
      <c r="M292" s="31">
        <f t="shared" si="51"/>
        <v>1000</v>
      </c>
    </row>
    <row r="293" spans="2:14" x14ac:dyDescent="0.3">
      <c r="B293" s="5">
        <f t="shared" si="56"/>
        <v>46309</v>
      </c>
      <c r="C293" s="3">
        <v>10</v>
      </c>
      <c r="D293" s="3">
        <v>14</v>
      </c>
      <c r="E293" s="3">
        <f t="shared" si="55"/>
        <v>4</v>
      </c>
      <c r="F293" s="4" t="str">
        <f>IF($E293=참조!$B$2,참조!$C$2,IF($E293=참조!$B$3,참조!$C$3,IF($E293=참조!$B$4,참조!$C$4,IF($E293=참조!$B$5,참조!$C$5,IF($E293=참조!$B$6,참조!$C$6,IF($E293=참조!$B$7,참조!$C$7,IF($E293=참조!$B$8,참조!$C$8,"")))))))</f>
        <v>水</v>
      </c>
      <c r="G293" s="4" t="str">
        <f>IF($F293=참조!$C$2,참조!$D$2,IF($F293=참조!$C$8,참조!$D$2,IF(COUNTIF('2026년휴일'!$B:$B,$B293)&gt;0,참조!$D$2,참조!$D$3)))</f>
        <v>勤</v>
      </c>
      <c r="H293" s="31">
        <f>IF($G293=참조!$D$3,참조!$E$3,참조!$E$2)</f>
        <v>1000</v>
      </c>
      <c r="I293" s="31">
        <f>SUMIFS(지출기록_10월!$H$3:$H$314,지출기록_10월!$E$3:$E$314,B293,지출기록_10월!$F$3:$F$314,참조!$F$2)</f>
        <v>0</v>
      </c>
      <c r="J293" s="31">
        <f>SUMIFS(지출기록_10월!$H$3:$H$314,지출기록_10월!$E$3:$E$314,B293,지출기록_10월!$F$3:$F$314,참조!$F$3)</f>
        <v>0</v>
      </c>
      <c r="K293" s="31">
        <f t="shared" si="63"/>
        <v>0</v>
      </c>
      <c r="L293" s="31">
        <f t="shared" ca="1" si="57"/>
        <v>1000</v>
      </c>
      <c r="M293" s="31">
        <f t="shared" si="51"/>
        <v>1000</v>
      </c>
      <c r="N293" s="3">
        <f>SUM(K288:K293)</f>
        <v>0</v>
      </c>
    </row>
    <row r="294" spans="2:14" x14ac:dyDescent="0.3">
      <c r="B294" s="5">
        <f t="shared" si="56"/>
        <v>46310</v>
      </c>
      <c r="C294" s="3">
        <v>10</v>
      </c>
      <c r="D294" s="3">
        <v>15</v>
      </c>
      <c r="E294" s="3">
        <f t="shared" si="55"/>
        <v>5</v>
      </c>
      <c r="F294" s="4" t="str">
        <f>IF($E294=참조!$B$2,참조!$C$2,IF($E294=참조!$B$3,참조!$C$3,IF($E294=참조!$B$4,참조!$C$4,IF($E294=참조!$B$5,참조!$C$5,IF($E294=참조!$B$6,참조!$C$6,IF($E294=참조!$B$7,참조!$C$7,IF($E294=참조!$B$8,참조!$C$8,"")))))))</f>
        <v>木</v>
      </c>
      <c r="G294" s="4" t="str">
        <f>IF($F294=참조!$C$2,참조!$D$2,IF($F294=참조!$C$8,참조!$D$2,IF(COUNTIF('2026년휴일'!$B:$B,$B294)&gt;0,참조!$D$2,참조!$D$3)))</f>
        <v>勤</v>
      </c>
      <c r="H294" s="31">
        <f>IF($G294=참조!$D$3,참조!$E$3,참조!$E$2)</f>
        <v>1000</v>
      </c>
      <c r="I294" s="31">
        <f>SUMIFS(지출기록_10월!$H$3:$H$314,지출기록_10월!$E$3:$E$314,B294,지출기록_10월!$F$3:$F$314,참조!$F$2)</f>
        <v>0</v>
      </c>
      <c r="J294" s="31">
        <f>SUMIFS(지출기록_10월!$H$3:$H$314,지출기록_10월!$E$3:$E$314,B294,지출기록_10월!$F$3:$F$314,참조!$F$3)</f>
        <v>0</v>
      </c>
      <c r="K294" s="31">
        <f t="shared" si="63"/>
        <v>0</v>
      </c>
      <c r="L294" s="31">
        <f t="shared" ca="1" si="57"/>
        <v>1000</v>
      </c>
      <c r="M294" s="31">
        <f t="shared" si="51"/>
        <v>1000</v>
      </c>
    </row>
    <row r="295" spans="2:14" x14ac:dyDescent="0.3">
      <c r="B295" s="5">
        <f t="shared" si="56"/>
        <v>46311</v>
      </c>
      <c r="C295" s="3">
        <v>10</v>
      </c>
      <c r="D295" s="3">
        <v>16</v>
      </c>
      <c r="E295" s="3">
        <f t="shared" si="55"/>
        <v>6</v>
      </c>
      <c r="F295" s="4" t="str">
        <f>IF($E295=참조!$B$2,참조!$C$2,IF($E295=참조!$B$3,참조!$C$3,IF($E295=참조!$B$4,참조!$C$4,IF($E295=참조!$B$5,참조!$C$5,IF($E295=참조!$B$6,참조!$C$6,IF($E295=참조!$B$7,참조!$C$7,IF($E295=참조!$B$8,참조!$C$8,"")))))))</f>
        <v>金</v>
      </c>
      <c r="G295" s="4" t="str">
        <f>IF($F295=참조!$C$2,참조!$D$2,IF($F295=참조!$C$8,참조!$D$2,IF(COUNTIF('2026년휴일'!$B:$B,$B295)&gt;0,참조!$D$2,참조!$D$3)))</f>
        <v>勤</v>
      </c>
      <c r="H295" s="31">
        <f>IF($G295=참조!$D$3,참조!$E$3,참조!$E$2)</f>
        <v>1000</v>
      </c>
      <c r="I295" s="31">
        <f>SUMIFS(지출기록_10월!$H$3:$H$314,지출기록_10월!$E$3:$E$314,B295,지출기록_10월!$F$3:$F$314,참조!$F$2)</f>
        <v>0</v>
      </c>
      <c r="J295" s="31">
        <f>SUMIFS(지출기록_10월!$H$3:$H$314,지출기록_10월!$E$3:$E$314,B295,지출기록_10월!$F$3:$F$314,참조!$F$3)</f>
        <v>0</v>
      </c>
      <c r="K295" s="31">
        <f t="shared" ref="K295:K296" si="64">I295-J295</f>
        <v>0</v>
      </c>
      <c r="L295" s="31">
        <f t="shared" ca="1" si="57"/>
        <v>1000</v>
      </c>
      <c r="M295" s="31">
        <f t="shared" si="51"/>
        <v>1000</v>
      </c>
    </row>
    <row r="296" spans="2:14" x14ac:dyDescent="0.3">
      <c r="B296" s="5">
        <f t="shared" si="56"/>
        <v>46312</v>
      </c>
      <c r="C296" s="3">
        <v>10</v>
      </c>
      <c r="D296" s="3">
        <v>17</v>
      </c>
      <c r="E296" s="3">
        <f t="shared" si="55"/>
        <v>7</v>
      </c>
      <c r="F296" s="4" t="str">
        <f>IF($E296=참조!$B$2,참조!$C$2,IF($E296=참조!$B$3,참조!$C$3,IF($E296=참조!$B$4,참조!$C$4,IF($E296=참조!$B$5,참조!$C$5,IF($E296=참조!$B$6,참조!$C$6,IF($E296=참조!$B$7,참조!$C$7,IF($E296=참조!$B$8,참조!$C$8,"")))))))</f>
        <v>土</v>
      </c>
      <c r="G296" s="4" t="str">
        <f>IF($F296=참조!$C$2,참조!$D$2,IF($F296=참조!$C$8,참조!$D$2,IF(COUNTIF('2026년휴일'!$B:$B,$B296)&gt;0,참조!$D$2,참조!$D$3)))</f>
        <v>休</v>
      </c>
      <c r="H296" s="31">
        <f>IF($G296=참조!$D$3,참조!$E$3,참조!$E$2)</f>
        <v>5000</v>
      </c>
      <c r="I296" s="31">
        <f>SUMIFS(지출기록_10월!$H$3:$H$314,지출기록_10월!$E$3:$E$314,B296,지출기록_10월!$F$3:$F$314,참조!$F$2)</f>
        <v>0</v>
      </c>
      <c r="J296" s="31">
        <f>SUMIFS(지출기록_10월!$H$3:$H$314,지출기록_10월!$E$3:$E$314,B296,지출기록_10월!$F$3:$F$314,참조!$F$3)</f>
        <v>0</v>
      </c>
      <c r="K296" s="31">
        <f t="shared" si="64"/>
        <v>0</v>
      </c>
      <c r="L296" s="31">
        <f t="shared" ca="1" si="57"/>
        <v>5000</v>
      </c>
      <c r="M296" s="31">
        <f t="shared" si="51"/>
        <v>5000</v>
      </c>
    </row>
    <row r="297" spans="2:14" x14ac:dyDescent="0.3">
      <c r="B297" s="5">
        <f t="shared" si="56"/>
        <v>46313</v>
      </c>
      <c r="C297" s="3">
        <v>10</v>
      </c>
      <c r="D297" s="3">
        <v>18</v>
      </c>
      <c r="E297" s="3">
        <f t="shared" si="55"/>
        <v>1</v>
      </c>
      <c r="F297" s="4" t="str">
        <f>IF($E297=참조!$B$2,참조!$C$2,IF($E297=참조!$B$3,참조!$C$3,IF($E297=참조!$B$4,참조!$C$4,IF($E297=참조!$B$5,참조!$C$5,IF($E297=참조!$B$6,참조!$C$6,IF($E297=참조!$B$7,참조!$C$7,IF($E297=참조!$B$8,참조!$C$8,"")))))))</f>
        <v>日</v>
      </c>
      <c r="G297" s="4" t="str">
        <f>IF($F297=참조!$C$2,참조!$D$2,IF($F297=참조!$C$8,참조!$D$2,IF(COUNTIF('2026년휴일'!$B:$B,$B297)&gt;0,참조!$D$2,참조!$D$3)))</f>
        <v>休</v>
      </c>
      <c r="H297" s="31">
        <f>IF($G297=참조!$D$3,참조!$E$3,참조!$E$2)</f>
        <v>5000</v>
      </c>
      <c r="I297" s="31">
        <f>SUMIFS(지출기록_10월!$H$3:$H$314,지출기록_10월!$E$3:$E$314,B297,지출기록_10월!$F$3:$F$314,참조!$F$2)</f>
        <v>0</v>
      </c>
      <c r="J297" s="31">
        <f>SUMIFS(지출기록_10월!$H$3:$H$314,지출기록_10월!$E$3:$E$314,B297,지출기록_10월!$F$3:$F$314,참조!$F$3)</f>
        <v>0</v>
      </c>
      <c r="K297" s="31">
        <f t="shared" ref="K297:K306" si="65">I297-J297</f>
        <v>0</v>
      </c>
      <c r="L297" s="31">
        <f t="shared" ca="1" si="57"/>
        <v>5000</v>
      </c>
      <c r="M297" s="31">
        <f t="shared" si="51"/>
        <v>5000</v>
      </c>
    </row>
    <row r="298" spans="2:14" x14ac:dyDescent="0.3">
      <c r="B298" s="5">
        <f t="shared" si="56"/>
        <v>46314</v>
      </c>
      <c r="C298" s="3">
        <v>10</v>
      </c>
      <c r="D298" s="3">
        <v>19</v>
      </c>
      <c r="E298" s="3">
        <f t="shared" si="55"/>
        <v>2</v>
      </c>
      <c r="F298" s="4" t="str">
        <f>IF($E298=참조!$B$2,참조!$C$2,IF($E298=참조!$B$3,참조!$C$3,IF($E298=참조!$B$4,참조!$C$4,IF($E298=참조!$B$5,참조!$C$5,IF($E298=참조!$B$6,참조!$C$6,IF($E298=참조!$B$7,참조!$C$7,IF($E298=참조!$B$8,참조!$C$8,"")))))))</f>
        <v>月</v>
      </c>
      <c r="G298" s="4" t="str">
        <f>IF($F298=참조!$C$2,참조!$D$2,IF($F298=참조!$C$8,참조!$D$2,IF(COUNTIF('2026년휴일'!$B:$B,$B298)&gt;0,참조!$D$2,참조!$D$3)))</f>
        <v>勤</v>
      </c>
      <c r="H298" s="31">
        <f>IF($G298=참조!$D$3,참조!$E$3,참조!$E$2)</f>
        <v>1000</v>
      </c>
      <c r="I298" s="31">
        <f>SUMIFS(지출기록_10월!$H$3:$H$314,지출기록_10월!$E$3:$E$314,B298,지출기록_10월!$F$3:$F$314,참조!$F$2)</f>
        <v>0</v>
      </c>
      <c r="J298" s="31">
        <f>SUMIFS(지출기록_10월!$H$3:$H$314,지출기록_10월!$E$3:$E$314,B298,지출기록_10월!$F$3:$F$314,참조!$F$3)</f>
        <v>0</v>
      </c>
      <c r="K298" s="31">
        <f t="shared" si="65"/>
        <v>0</v>
      </c>
      <c r="L298" s="31">
        <f t="shared" ca="1" si="57"/>
        <v>1000</v>
      </c>
      <c r="M298" s="31">
        <f t="shared" si="51"/>
        <v>1000</v>
      </c>
      <c r="N298" s="3">
        <f>SUM(K292:K298)</f>
        <v>0</v>
      </c>
    </row>
    <row r="299" spans="2:14" x14ac:dyDescent="0.3">
      <c r="B299" s="5">
        <f t="shared" si="56"/>
        <v>46315</v>
      </c>
      <c r="C299" s="3">
        <v>10</v>
      </c>
      <c r="D299" s="3">
        <v>20</v>
      </c>
      <c r="E299" s="3">
        <f t="shared" si="55"/>
        <v>3</v>
      </c>
      <c r="F299" s="4" t="str">
        <f>IF($E299=참조!$B$2,참조!$C$2,IF($E299=참조!$B$3,참조!$C$3,IF($E299=참조!$B$4,참조!$C$4,IF($E299=참조!$B$5,참조!$C$5,IF($E299=참조!$B$6,참조!$C$6,IF($E299=참조!$B$7,참조!$C$7,IF($E299=참조!$B$8,참조!$C$8,"")))))))</f>
        <v>火</v>
      </c>
      <c r="G299" s="4" t="str">
        <f>IF($F299=참조!$C$2,참조!$D$2,IF($F299=참조!$C$8,참조!$D$2,IF(COUNTIF('2026년휴일'!$B:$B,$B299)&gt;0,참조!$D$2,참조!$D$3)))</f>
        <v>勤</v>
      </c>
      <c r="H299" s="31">
        <f>IF($G299=참조!$D$3,참조!$E$3,참조!$E$2)</f>
        <v>1000</v>
      </c>
      <c r="I299" s="31">
        <f>SUMIFS(지출기록_10월!$H$3:$H$314,지출기록_10월!$E$3:$E$314,B299,지출기록_10월!$F$3:$F$314,참조!$F$2)</f>
        <v>0</v>
      </c>
      <c r="J299" s="31">
        <f>SUMIFS(지출기록_10월!$H$3:$H$314,지출기록_10월!$E$3:$E$314,B299,지출기록_10월!$F$3:$F$314,참조!$F$3)</f>
        <v>0</v>
      </c>
      <c r="K299" s="31">
        <f t="shared" si="65"/>
        <v>0</v>
      </c>
      <c r="L299" s="31">
        <f t="shared" ca="1" si="57"/>
        <v>1000</v>
      </c>
      <c r="M299" s="31">
        <f t="shared" si="51"/>
        <v>1000</v>
      </c>
    </row>
    <row r="300" spans="2:14" x14ac:dyDescent="0.3">
      <c r="B300" s="5">
        <f t="shared" si="56"/>
        <v>46316</v>
      </c>
      <c r="C300" s="3">
        <v>10</v>
      </c>
      <c r="D300" s="3">
        <v>21</v>
      </c>
      <c r="E300" s="3">
        <f t="shared" si="55"/>
        <v>4</v>
      </c>
      <c r="F300" s="4" t="str">
        <f>IF($E300=참조!$B$2,참조!$C$2,IF($E300=참조!$B$3,참조!$C$3,IF($E300=참조!$B$4,참조!$C$4,IF($E300=참조!$B$5,참조!$C$5,IF($E300=참조!$B$6,참조!$C$6,IF($E300=참조!$B$7,참조!$C$7,IF($E300=참조!$B$8,참조!$C$8,"")))))))</f>
        <v>水</v>
      </c>
      <c r="G300" s="4" t="str">
        <f>IF($F300=참조!$C$2,참조!$D$2,IF($F300=참조!$C$8,참조!$D$2,IF(COUNTIF('2026년휴일'!$B:$B,$B300)&gt;0,참조!$D$2,참조!$D$3)))</f>
        <v>勤</v>
      </c>
      <c r="H300" s="31">
        <f>IF($G300=참조!$D$3,참조!$E$3,참조!$E$2)</f>
        <v>1000</v>
      </c>
      <c r="I300" s="31">
        <f>SUMIFS(지출기록_10월!$H$3:$H$314,지출기록_10월!$E$3:$E$314,B300,지출기록_10월!$F$3:$F$314,참조!$F$2)</f>
        <v>0</v>
      </c>
      <c r="J300" s="31">
        <f>SUMIFS(지출기록_10월!$H$3:$H$314,지출기록_10월!$E$3:$E$314,B300,지출기록_10월!$F$3:$F$314,참조!$F$3)</f>
        <v>0</v>
      </c>
      <c r="K300" s="31">
        <f t="shared" si="65"/>
        <v>0</v>
      </c>
      <c r="L300" s="31">
        <f t="shared" ca="1" si="57"/>
        <v>1000</v>
      </c>
      <c r="M300" s="31">
        <f t="shared" si="51"/>
        <v>1000</v>
      </c>
    </row>
    <row r="301" spans="2:14" x14ac:dyDescent="0.3">
      <c r="B301" s="5">
        <f t="shared" si="56"/>
        <v>46317</v>
      </c>
      <c r="C301" s="3">
        <v>10</v>
      </c>
      <c r="D301" s="3">
        <v>22</v>
      </c>
      <c r="E301" s="3">
        <f t="shared" si="55"/>
        <v>5</v>
      </c>
      <c r="F301" s="4" t="str">
        <f>IF($E301=참조!$B$2,참조!$C$2,IF($E301=참조!$B$3,참조!$C$3,IF($E301=참조!$B$4,참조!$C$4,IF($E301=참조!$B$5,참조!$C$5,IF($E301=참조!$B$6,참조!$C$6,IF($E301=참조!$B$7,참조!$C$7,IF($E301=참조!$B$8,참조!$C$8,"")))))))</f>
        <v>木</v>
      </c>
      <c r="G301" s="4" t="str">
        <f>IF($F301=참조!$C$2,참조!$D$2,IF($F301=참조!$C$8,참조!$D$2,IF(COUNTIF('2026년휴일'!$B:$B,$B301)&gt;0,참조!$D$2,참조!$D$3)))</f>
        <v>勤</v>
      </c>
      <c r="H301" s="31">
        <f>IF($G301=참조!$D$3,참조!$E$3,참조!$E$2)</f>
        <v>1000</v>
      </c>
      <c r="I301" s="31">
        <f>SUMIFS(지출기록_10월!$H$3:$H$314,지출기록_10월!$E$3:$E$314,B301,지출기록_10월!$F$3:$F$314,참조!$F$2)</f>
        <v>0</v>
      </c>
      <c r="J301" s="31">
        <f>SUMIFS(지출기록_10월!$H$3:$H$314,지출기록_10월!$E$3:$E$314,B301,지출기록_10월!$F$3:$F$314,참조!$F$3)</f>
        <v>0</v>
      </c>
      <c r="K301" s="31">
        <f t="shared" si="65"/>
        <v>0</v>
      </c>
      <c r="L301" s="31">
        <f t="shared" ca="1" si="57"/>
        <v>1000</v>
      </c>
      <c r="M301" s="31">
        <f t="shared" si="51"/>
        <v>1000</v>
      </c>
    </row>
    <row r="302" spans="2:14" x14ac:dyDescent="0.3">
      <c r="B302" s="5">
        <f t="shared" si="56"/>
        <v>46318</v>
      </c>
      <c r="C302" s="3">
        <v>10</v>
      </c>
      <c r="D302" s="3">
        <v>23</v>
      </c>
      <c r="E302" s="3">
        <f t="shared" si="55"/>
        <v>6</v>
      </c>
      <c r="F302" s="4" t="str">
        <f>IF($E302=참조!$B$2,참조!$C$2,IF($E302=참조!$B$3,참조!$C$3,IF($E302=참조!$B$4,참조!$C$4,IF($E302=참조!$B$5,참조!$C$5,IF($E302=참조!$B$6,참조!$C$6,IF($E302=참조!$B$7,참조!$C$7,IF($E302=참조!$B$8,참조!$C$8,"")))))))</f>
        <v>金</v>
      </c>
      <c r="G302" s="4" t="str">
        <f>IF($F302=참조!$C$2,참조!$D$2,IF($F302=참조!$C$8,참조!$D$2,IF(COUNTIF('2026년휴일'!$B:$B,$B302)&gt;0,참조!$D$2,참조!$D$3)))</f>
        <v>勤</v>
      </c>
      <c r="H302" s="31">
        <f>IF($G302=참조!$D$3,참조!$E$3,참조!$E$2)</f>
        <v>1000</v>
      </c>
      <c r="I302" s="31">
        <f>SUMIFS(지출기록_10월!$H$3:$H$314,지출기록_10월!$E$3:$E$314,B302,지출기록_10월!$F$3:$F$314,참조!$F$2)</f>
        <v>0</v>
      </c>
      <c r="J302" s="31">
        <f>SUMIFS(지출기록_10월!$H$3:$H$314,지출기록_10월!$E$3:$E$314,B302,지출기록_10월!$F$3:$F$314,참조!$F$3)</f>
        <v>0</v>
      </c>
      <c r="K302" s="31">
        <f t="shared" si="65"/>
        <v>0</v>
      </c>
      <c r="L302" s="31">
        <f t="shared" ca="1" si="57"/>
        <v>1000</v>
      </c>
      <c r="M302" s="31">
        <f t="shared" si="51"/>
        <v>1000</v>
      </c>
    </row>
    <row r="303" spans="2:14" x14ac:dyDescent="0.3">
      <c r="B303" s="5">
        <f t="shared" si="56"/>
        <v>46319</v>
      </c>
      <c r="C303" s="3">
        <v>10</v>
      </c>
      <c r="D303" s="3">
        <v>24</v>
      </c>
      <c r="E303" s="3">
        <f t="shared" si="55"/>
        <v>7</v>
      </c>
      <c r="F303" s="4" t="str">
        <f>IF($E303=참조!$B$2,참조!$C$2,IF($E303=참조!$B$3,참조!$C$3,IF($E303=참조!$B$4,참조!$C$4,IF($E303=참조!$B$5,참조!$C$5,IF($E303=참조!$B$6,참조!$C$6,IF($E303=참조!$B$7,참조!$C$7,IF($E303=참조!$B$8,참조!$C$8,"")))))))</f>
        <v>土</v>
      </c>
      <c r="G303" s="4" t="str">
        <f>IF($F303=참조!$C$2,참조!$D$2,IF($F303=참조!$C$8,참조!$D$2,IF(COUNTIF('2026년휴일'!$B:$B,$B303)&gt;0,참조!$D$2,참조!$D$3)))</f>
        <v>休</v>
      </c>
      <c r="H303" s="31">
        <f>IF($G303=참조!$D$3,참조!$E$3,참조!$E$2)</f>
        <v>5000</v>
      </c>
      <c r="I303" s="31">
        <f>SUMIFS(지출기록_10월!$H$3:$H$314,지출기록_10월!$E$3:$E$314,B303,지출기록_10월!$F$3:$F$314,참조!$F$2)</f>
        <v>0</v>
      </c>
      <c r="J303" s="31">
        <f>SUMIFS(지출기록_10월!$H$3:$H$314,지출기록_10월!$E$3:$E$314,B303,지출기록_10월!$F$3:$F$314,참조!$F$3)</f>
        <v>0</v>
      </c>
      <c r="K303" s="31">
        <f t="shared" si="65"/>
        <v>0</v>
      </c>
      <c r="L303" s="31">
        <f t="shared" ca="1" si="57"/>
        <v>5000</v>
      </c>
      <c r="M303" s="31">
        <f t="shared" si="51"/>
        <v>5000</v>
      </c>
    </row>
    <row r="304" spans="2:14" x14ac:dyDescent="0.3">
      <c r="B304" s="5">
        <f t="shared" si="56"/>
        <v>46320</v>
      </c>
      <c r="C304" s="3">
        <v>10</v>
      </c>
      <c r="D304" s="3">
        <v>25</v>
      </c>
      <c r="E304" s="3">
        <f t="shared" si="55"/>
        <v>1</v>
      </c>
      <c r="F304" s="4" t="str">
        <f>IF($E304=참조!$B$2,참조!$C$2,IF($E304=참조!$B$3,참조!$C$3,IF($E304=참조!$B$4,참조!$C$4,IF($E304=참조!$B$5,참조!$C$5,IF($E304=참조!$B$6,참조!$C$6,IF($E304=참조!$B$7,참조!$C$7,IF($E304=참조!$B$8,참조!$C$8,"")))))))</f>
        <v>日</v>
      </c>
      <c r="G304" s="4" t="str">
        <f>IF($F304=참조!$C$2,참조!$D$2,IF($F304=참조!$C$8,참조!$D$2,IF(COUNTIF('2026년휴일'!$B:$B,$B304)&gt;0,참조!$D$2,참조!$D$3)))</f>
        <v>休</v>
      </c>
      <c r="H304" s="31">
        <f>IF($G304=참조!$D$3,참조!$E$3,참조!$E$2)</f>
        <v>5000</v>
      </c>
      <c r="I304" s="31">
        <f>SUMIFS(지출기록_10월!$H$3:$H$314,지출기록_10월!$E$3:$E$314,B304,지출기록_10월!$F$3:$F$314,참조!$F$2)</f>
        <v>0</v>
      </c>
      <c r="J304" s="31">
        <f>SUMIFS(지출기록_10월!$H$3:$H$314,지출기록_10월!$E$3:$E$314,B304,지출기록_10월!$F$3:$F$314,참조!$F$3)</f>
        <v>0</v>
      </c>
      <c r="K304" s="31">
        <f t="shared" si="65"/>
        <v>0</v>
      </c>
      <c r="L304" s="31">
        <f t="shared" ca="1" si="57"/>
        <v>5000</v>
      </c>
      <c r="M304" s="31">
        <f t="shared" si="51"/>
        <v>5000</v>
      </c>
    </row>
    <row r="305" spans="2:14" x14ac:dyDescent="0.3">
      <c r="B305" s="5">
        <f t="shared" si="56"/>
        <v>46321</v>
      </c>
      <c r="C305" s="3">
        <v>10</v>
      </c>
      <c r="D305" s="3">
        <v>26</v>
      </c>
      <c r="E305" s="3">
        <f t="shared" si="55"/>
        <v>2</v>
      </c>
      <c r="F305" s="4" t="str">
        <f>IF($E305=참조!$B$2,참조!$C$2,IF($E305=참조!$B$3,참조!$C$3,IF($E305=참조!$B$4,참조!$C$4,IF($E305=참조!$B$5,참조!$C$5,IF($E305=참조!$B$6,참조!$C$6,IF($E305=참조!$B$7,참조!$C$7,IF($E305=참조!$B$8,참조!$C$8,"")))))))</f>
        <v>月</v>
      </c>
      <c r="G305" s="4" t="str">
        <f>IF($F305=참조!$C$2,참조!$D$2,IF($F305=참조!$C$8,참조!$D$2,IF(COUNTIF('2026년휴일'!$B:$B,$B305)&gt;0,참조!$D$2,참조!$D$3)))</f>
        <v>勤</v>
      </c>
      <c r="H305" s="31">
        <f>IF($G305=참조!$D$3,참조!$E$3,참조!$E$2)</f>
        <v>1000</v>
      </c>
      <c r="I305" s="31">
        <f>SUMIFS(지출기록_10월!$H$3:$H$314,지출기록_10월!$E$3:$E$314,B305,지출기록_10월!$F$3:$F$314,참조!$F$2)</f>
        <v>0</v>
      </c>
      <c r="J305" s="31">
        <f>SUMIFS(지출기록_10월!$H$3:$H$314,지출기록_10월!$E$3:$E$314,B305,지출기록_10월!$F$3:$F$314,참조!$F$3)</f>
        <v>0</v>
      </c>
      <c r="K305" s="31">
        <f t="shared" si="65"/>
        <v>0</v>
      </c>
      <c r="L305" s="31">
        <f t="shared" ca="1" si="57"/>
        <v>1000</v>
      </c>
      <c r="M305" s="31">
        <f t="shared" si="51"/>
        <v>1000</v>
      </c>
      <c r="N305" s="3">
        <f>SUM(K299:K305)</f>
        <v>0</v>
      </c>
    </row>
    <row r="306" spans="2:14" x14ac:dyDescent="0.3">
      <c r="B306" s="5">
        <f t="shared" si="56"/>
        <v>46322</v>
      </c>
      <c r="C306" s="3">
        <v>10</v>
      </c>
      <c r="D306" s="3">
        <v>27</v>
      </c>
      <c r="E306" s="3">
        <f t="shared" si="55"/>
        <v>3</v>
      </c>
      <c r="F306" s="4" t="str">
        <f>IF($E306=참조!$B$2,참조!$C$2,IF($E306=참조!$B$3,참조!$C$3,IF($E306=참조!$B$4,참조!$C$4,IF($E306=참조!$B$5,참조!$C$5,IF($E306=참조!$B$6,참조!$C$6,IF($E306=참조!$B$7,참조!$C$7,IF($E306=참조!$B$8,참조!$C$8,"")))))))</f>
        <v>火</v>
      </c>
      <c r="G306" s="4" t="str">
        <f>IF($F306=참조!$C$2,참조!$D$2,IF($F306=참조!$C$8,참조!$D$2,IF(COUNTIF('2026년휴일'!$B:$B,$B306)&gt;0,참조!$D$2,참조!$D$3)))</f>
        <v>勤</v>
      </c>
      <c r="H306" s="31">
        <f>IF($G306=참조!$D$3,참조!$E$3,참조!$E$2)</f>
        <v>1000</v>
      </c>
      <c r="I306" s="31">
        <f>SUMIFS(지출기록_10월!$H$3:$H$314,지출기록_10월!$E$3:$E$314,B306,지출기록_10월!$F$3:$F$314,참조!$F$2)</f>
        <v>0</v>
      </c>
      <c r="J306" s="31">
        <f>SUMIFS(지출기록_10월!$H$3:$H$314,지출기록_10월!$E$3:$E$314,B306,지출기록_10월!$F$3:$F$314,참조!$F$3)</f>
        <v>0</v>
      </c>
      <c r="K306" s="31">
        <f t="shared" si="65"/>
        <v>0</v>
      </c>
      <c r="L306" s="31">
        <f t="shared" ca="1" si="57"/>
        <v>1000</v>
      </c>
      <c r="M306" s="31">
        <f t="shared" si="51"/>
        <v>1000</v>
      </c>
    </row>
    <row r="307" spans="2:14" x14ac:dyDescent="0.3">
      <c r="B307" s="5">
        <f t="shared" si="56"/>
        <v>46323</v>
      </c>
      <c r="C307" s="3">
        <v>10</v>
      </c>
      <c r="D307" s="3">
        <v>28</v>
      </c>
      <c r="E307" s="3">
        <f t="shared" si="55"/>
        <v>4</v>
      </c>
      <c r="F307" s="4" t="str">
        <f>IF($E307=참조!$B$2,참조!$C$2,IF($E307=참조!$B$3,참조!$C$3,IF($E307=참조!$B$4,참조!$C$4,IF($E307=참조!$B$5,참조!$C$5,IF($E307=참조!$B$6,참조!$C$6,IF($E307=참조!$B$7,참조!$C$7,IF($E307=참조!$B$8,참조!$C$8,"")))))))</f>
        <v>水</v>
      </c>
      <c r="G307" s="4" t="str">
        <f>IF($F307=참조!$C$2,참조!$D$2,IF($F307=참조!$C$8,참조!$D$2,IF(COUNTIF('2026년휴일'!$B:$B,$B307)&gt;0,참조!$D$2,참조!$D$3)))</f>
        <v>勤</v>
      </c>
      <c r="H307" s="31">
        <f>IF($G307=참조!$D$3,참조!$E$3,참조!$E$2)</f>
        <v>1000</v>
      </c>
      <c r="I307" s="31">
        <f>SUMIFS(지출기록_10월!$H$3:$H$314,지출기록_10월!$E$3:$E$314,B307,지출기록_10월!$F$3:$F$314,참조!$F$2)</f>
        <v>0</v>
      </c>
      <c r="J307" s="31">
        <f>SUMIFS(지출기록_10월!$H$3:$H$314,지출기록_10월!$E$3:$E$314,B307,지출기록_10월!$F$3:$F$314,참조!$F$3)</f>
        <v>0</v>
      </c>
      <c r="K307" s="31">
        <f t="shared" ref="K307:K309" si="66">I307-J307</f>
        <v>0</v>
      </c>
      <c r="L307" s="31">
        <f t="shared" ca="1" si="57"/>
        <v>1000</v>
      </c>
      <c r="M307" s="31">
        <f t="shared" si="51"/>
        <v>1000</v>
      </c>
    </row>
    <row r="308" spans="2:14" x14ac:dyDescent="0.3">
      <c r="B308" s="5">
        <f t="shared" si="56"/>
        <v>46324</v>
      </c>
      <c r="C308" s="3">
        <v>10</v>
      </c>
      <c r="D308" s="3">
        <v>29</v>
      </c>
      <c r="E308" s="3">
        <f t="shared" si="55"/>
        <v>5</v>
      </c>
      <c r="F308" s="4" t="str">
        <f>IF($E308=참조!$B$2,참조!$C$2,IF($E308=참조!$B$3,참조!$C$3,IF($E308=참조!$B$4,참조!$C$4,IF($E308=참조!$B$5,참조!$C$5,IF($E308=참조!$B$6,참조!$C$6,IF($E308=참조!$B$7,참조!$C$7,IF($E308=참조!$B$8,참조!$C$8,"")))))))</f>
        <v>木</v>
      </c>
      <c r="G308" s="4" t="str">
        <f>IF($F308=참조!$C$2,참조!$D$2,IF($F308=참조!$C$8,참조!$D$2,IF(COUNTIF('2026년휴일'!$B:$B,$B308)&gt;0,참조!$D$2,참조!$D$3)))</f>
        <v>勤</v>
      </c>
      <c r="H308" s="31">
        <f>IF($G308=참조!$D$3,참조!$E$3,참조!$E$2)</f>
        <v>1000</v>
      </c>
      <c r="I308" s="31">
        <f>SUMIFS(지출기록_10월!$H$3:$H$314,지출기록_10월!$E$3:$E$314,B308,지출기록_10월!$F$3:$F$314,참조!$F$2)</f>
        <v>0</v>
      </c>
      <c r="J308" s="31">
        <f>SUMIFS(지출기록_10월!$H$3:$H$314,지출기록_10월!$E$3:$E$314,B308,지출기록_10월!$F$3:$F$314,참조!$F$3)</f>
        <v>0</v>
      </c>
      <c r="K308" s="31">
        <f t="shared" si="66"/>
        <v>0</v>
      </c>
      <c r="L308" s="31">
        <f t="shared" ca="1" si="57"/>
        <v>1000</v>
      </c>
      <c r="M308" s="31">
        <f t="shared" si="51"/>
        <v>1000</v>
      </c>
    </row>
    <row r="309" spans="2:14" x14ac:dyDescent="0.3">
      <c r="B309" s="5">
        <f t="shared" si="56"/>
        <v>46325</v>
      </c>
      <c r="C309" s="3">
        <v>10</v>
      </c>
      <c r="D309" s="3">
        <v>30</v>
      </c>
      <c r="E309" s="3">
        <f t="shared" si="55"/>
        <v>6</v>
      </c>
      <c r="F309" s="4" t="str">
        <f>IF($E309=참조!$B$2,참조!$C$2,IF($E309=참조!$B$3,참조!$C$3,IF($E309=참조!$B$4,참조!$C$4,IF($E309=참조!$B$5,참조!$C$5,IF($E309=참조!$B$6,참조!$C$6,IF($E309=참조!$B$7,참조!$C$7,IF($E309=참조!$B$8,참조!$C$8,"")))))))</f>
        <v>金</v>
      </c>
      <c r="G309" s="4" t="str">
        <f>IF($F309=참조!$C$2,참조!$D$2,IF($F309=참조!$C$8,참조!$D$2,IF(COUNTIF('2026년휴일'!$B:$B,$B309)&gt;0,참조!$D$2,참조!$D$3)))</f>
        <v>勤</v>
      </c>
      <c r="H309" s="31">
        <f>IF($G309=참조!$D$3,참조!$E$3,참조!$E$2)</f>
        <v>1000</v>
      </c>
      <c r="I309" s="31">
        <f>SUMIFS(지출기록_10월!$H$3:$H$314,지출기록_10월!$E$3:$E$314,B309,지출기록_10월!$F$3:$F$314,참조!$F$2)</f>
        <v>0</v>
      </c>
      <c r="J309" s="31">
        <f>SUMIFS(지출기록_10월!$H$3:$H$314,지출기록_10월!$E$3:$E$314,B309,지출기록_10월!$F$3:$F$314,참조!$F$3)</f>
        <v>0</v>
      </c>
      <c r="K309" s="31">
        <f t="shared" si="66"/>
        <v>0</v>
      </c>
      <c r="L309" s="31">
        <f t="shared" ca="1" si="57"/>
        <v>1000</v>
      </c>
      <c r="M309" s="31">
        <f t="shared" si="51"/>
        <v>1000</v>
      </c>
    </row>
    <row r="310" spans="2:14" x14ac:dyDescent="0.3">
      <c r="B310" s="5">
        <f t="shared" si="56"/>
        <v>46326</v>
      </c>
      <c r="C310" s="3">
        <v>10</v>
      </c>
      <c r="D310" s="3">
        <v>31</v>
      </c>
      <c r="E310" s="3">
        <f t="shared" si="55"/>
        <v>7</v>
      </c>
      <c r="F310" s="4" t="str">
        <f>IF($E310=참조!$B$2,참조!$C$2,IF($E310=참조!$B$3,참조!$C$3,IF($E310=참조!$B$4,참조!$C$4,IF($E310=참조!$B$5,참조!$C$5,IF($E310=참조!$B$6,참조!$C$6,IF($E310=참조!$B$7,참조!$C$7,IF($E310=참조!$B$8,참조!$C$8,"")))))))</f>
        <v>土</v>
      </c>
      <c r="G310" s="4" t="str">
        <f>IF($F310=참조!$C$2,참조!$D$2,IF($F310=참조!$C$8,참조!$D$2,IF(COUNTIF('2026년휴일'!$B:$B,$B310)&gt;0,참조!$D$2,참조!$D$3)))</f>
        <v>休</v>
      </c>
      <c r="H310" s="31">
        <f>IF($G310=참조!$D$3,참조!$E$3,참조!$E$2)</f>
        <v>5000</v>
      </c>
      <c r="I310" s="31">
        <f>SUMIFS(지출기록_10월!$H$3:$H$314,지출기록_10월!$E$3:$E$314,B310,지출기록_10월!$F$3:$F$314,참조!$F$2)</f>
        <v>0</v>
      </c>
      <c r="J310" s="31">
        <f>SUMIFS(지출기록_10월!$H$3:$H$314,지출기록_10월!$E$3:$E$314,B310,지출기록_10월!$F$3:$F$314,참조!$F$3)</f>
        <v>0</v>
      </c>
      <c r="K310" s="31">
        <f t="shared" ref="K310:K311" si="67">I310-J310</f>
        <v>0</v>
      </c>
      <c r="L310" s="31">
        <f t="shared" ca="1" si="57"/>
        <v>5000</v>
      </c>
      <c r="M310" s="31">
        <f t="shared" si="51"/>
        <v>5000</v>
      </c>
    </row>
    <row r="311" spans="2:14" x14ac:dyDescent="0.3">
      <c r="B311" s="5">
        <f t="shared" si="56"/>
        <v>46327</v>
      </c>
      <c r="C311" s="3">
        <v>11</v>
      </c>
      <c r="D311" s="3">
        <v>1</v>
      </c>
      <c r="E311" s="3">
        <f t="shared" si="55"/>
        <v>1</v>
      </c>
      <c r="F311" s="4" t="str">
        <f>IF($E311=참조!$B$2,참조!$C$2,IF($E311=참조!$B$3,참조!$C$3,IF($E311=참조!$B$4,참조!$C$4,IF($E311=참조!$B$5,참조!$C$5,IF($E311=참조!$B$6,참조!$C$6,IF($E311=참조!$B$7,참조!$C$7,IF($E311=참조!$B$8,참조!$C$8,"")))))))</f>
        <v>日</v>
      </c>
      <c r="G311" s="4" t="str">
        <f>IF($F311=참조!$C$2,참조!$D$2,IF($F311=참조!$C$8,참조!$D$2,IF(COUNTIF('2026년휴일'!$B:$B,$B311)&gt;0,참조!$D$2,참조!$D$3)))</f>
        <v>休</v>
      </c>
      <c r="H311" s="31">
        <f>IF($G311=참조!$D$3,참조!$E$3,참조!$E$2)</f>
        <v>5000</v>
      </c>
      <c r="I311" s="31">
        <f>SUMIFS(지출기록_11월!$H$3:$H$314,지출기록_11월!$E$3:$E$314,B311,지출기록_11월!$F$3:$F$314,참조!$F$2)</f>
        <v>0</v>
      </c>
      <c r="J311" s="31">
        <f>SUMIFS(지출기록_11월!$H$3:$H$314,지출기록_11월!$E$3:$E$314,B311,지출기록_11월!$F$3:$F$314,참조!$F$3)</f>
        <v>0</v>
      </c>
      <c r="K311" s="31">
        <f t="shared" si="67"/>
        <v>0</v>
      </c>
      <c r="L311" s="31">
        <f t="shared" ca="1" si="57"/>
        <v>5000</v>
      </c>
      <c r="M311" s="31">
        <f t="shared" si="51"/>
        <v>5000</v>
      </c>
    </row>
    <row r="312" spans="2:14" x14ac:dyDescent="0.3">
      <c r="B312" s="5">
        <f t="shared" si="56"/>
        <v>46328</v>
      </c>
      <c r="C312" s="3">
        <v>11</v>
      </c>
      <c r="D312" s="3">
        <v>2</v>
      </c>
      <c r="E312" s="3">
        <f t="shared" si="55"/>
        <v>2</v>
      </c>
      <c r="F312" s="4" t="str">
        <f>IF($E312=참조!$B$2,참조!$C$2,IF($E312=참조!$B$3,참조!$C$3,IF($E312=참조!$B$4,참조!$C$4,IF($E312=참조!$B$5,참조!$C$5,IF($E312=참조!$B$6,참조!$C$6,IF($E312=참조!$B$7,참조!$C$7,IF($E312=참조!$B$8,참조!$C$8,"")))))))</f>
        <v>月</v>
      </c>
      <c r="G312" s="4" t="str">
        <f>IF($F312=참조!$C$2,참조!$D$2,IF($F312=참조!$C$8,참조!$D$2,IF(COUNTIF('2026년휴일'!$B:$B,$B312)&gt;0,참조!$D$2,참조!$D$3)))</f>
        <v>勤</v>
      </c>
      <c r="H312" s="31">
        <f>IF($G312=참조!$D$3,참조!$E$3,참조!$E$2)</f>
        <v>1000</v>
      </c>
      <c r="I312" s="31">
        <f>SUMIFS(지출기록_11월!$H$3:$H$314,지출기록_11월!$E$3:$E$314,B312,지출기록_11월!$F$3:$F$314,참조!$F$2)</f>
        <v>0</v>
      </c>
      <c r="J312" s="31">
        <f>SUMIFS(지출기록_11월!$H$3:$H$314,지출기록_11월!$E$3:$E$314,B312,지출기록_11월!$F$3:$F$314,참조!$F$3)</f>
        <v>0</v>
      </c>
      <c r="K312" s="31">
        <f t="shared" ref="K312:K321" si="68">I312-J312</f>
        <v>0</v>
      </c>
      <c r="L312" s="31">
        <f t="shared" ca="1" si="57"/>
        <v>1000</v>
      </c>
      <c r="M312" s="31">
        <f t="shared" si="51"/>
        <v>1000</v>
      </c>
      <c r="N312" s="3">
        <f>SUM(K306:K312)</f>
        <v>0</v>
      </c>
    </row>
    <row r="313" spans="2:14" x14ac:dyDescent="0.3">
      <c r="B313" s="5">
        <f t="shared" si="56"/>
        <v>46329</v>
      </c>
      <c r="C313" s="3">
        <v>11</v>
      </c>
      <c r="D313" s="3">
        <v>3</v>
      </c>
      <c r="E313" s="3">
        <f t="shared" si="55"/>
        <v>3</v>
      </c>
      <c r="F313" s="4" t="str">
        <f>IF($E313=참조!$B$2,참조!$C$2,IF($E313=참조!$B$3,참조!$C$3,IF($E313=참조!$B$4,참조!$C$4,IF($E313=참조!$B$5,참조!$C$5,IF($E313=참조!$B$6,참조!$C$6,IF($E313=참조!$B$7,참조!$C$7,IF($E313=참조!$B$8,참조!$C$8,"")))))))</f>
        <v>火</v>
      </c>
      <c r="G313" s="4" t="str">
        <f>IF($F313=참조!$C$2,참조!$D$2,IF($F313=참조!$C$8,참조!$D$2,IF(COUNTIF('2026년휴일'!$B:$B,$B313)&gt;0,참조!$D$2,참조!$D$3)))</f>
        <v>休</v>
      </c>
      <c r="H313" s="31">
        <f>IF($G313=참조!$D$3,참조!$E$3,참조!$E$2)</f>
        <v>5000</v>
      </c>
      <c r="I313" s="31">
        <f>SUMIFS(지출기록_11월!$H$3:$H$314,지출기록_11월!$E$3:$E$314,B313,지출기록_11월!$F$3:$F$314,참조!$F$2)</f>
        <v>0</v>
      </c>
      <c r="J313" s="31">
        <f>SUMIFS(지출기록_11월!$H$3:$H$314,지출기록_11월!$E$3:$E$314,B313,지출기록_11월!$F$3:$F$314,참조!$F$3)</f>
        <v>0</v>
      </c>
      <c r="K313" s="31">
        <f t="shared" si="68"/>
        <v>0</v>
      </c>
      <c r="L313" s="31">
        <f t="shared" ca="1" si="57"/>
        <v>5000</v>
      </c>
      <c r="M313" s="31">
        <f t="shared" si="51"/>
        <v>5000</v>
      </c>
    </row>
    <row r="314" spans="2:14" x14ac:dyDescent="0.3">
      <c r="B314" s="5">
        <f t="shared" si="56"/>
        <v>46330</v>
      </c>
      <c r="C314" s="3">
        <v>11</v>
      </c>
      <c r="D314" s="3">
        <v>4</v>
      </c>
      <c r="E314" s="3">
        <f t="shared" si="55"/>
        <v>4</v>
      </c>
      <c r="F314" s="4" t="str">
        <f>IF($E314=참조!$B$2,참조!$C$2,IF($E314=참조!$B$3,참조!$C$3,IF($E314=참조!$B$4,참조!$C$4,IF($E314=참조!$B$5,참조!$C$5,IF($E314=참조!$B$6,참조!$C$6,IF($E314=참조!$B$7,참조!$C$7,IF($E314=참조!$B$8,참조!$C$8,"")))))))</f>
        <v>水</v>
      </c>
      <c r="G314" s="4" t="str">
        <f>IF($F314=참조!$C$2,참조!$D$2,IF($F314=참조!$C$8,참조!$D$2,IF(COUNTIF('2026년휴일'!$B:$B,$B314)&gt;0,참조!$D$2,참조!$D$3)))</f>
        <v>勤</v>
      </c>
      <c r="H314" s="31">
        <f>IF($G314=참조!$D$3,참조!$E$3,참조!$E$2)</f>
        <v>1000</v>
      </c>
      <c r="I314" s="31">
        <f>SUMIFS(지출기록_11월!$H$3:$H$314,지출기록_11월!$E$3:$E$314,B314,지출기록_11월!$F$3:$F$314,참조!$F$2)</f>
        <v>0</v>
      </c>
      <c r="J314" s="31">
        <f>SUMIFS(지출기록_11월!$H$3:$H$314,지출기록_11월!$E$3:$E$314,B314,지출기록_11월!$F$3:$F$314,참조!$F$3)</f>
        <v>0</v>
      </c>
      <c r="K314" s="31">
        <f t="shared" si="68"/>
        <v>0</v>
      </c>
      <c r="L314" s="31">
        <f t="shared" ca="1" si="57"/>
        <v>1000</v>
      </c>
      <c r="M314" s="31">
        <f t="shared" si="51"/>
        <v>1000</v>
      </c>
    </row>
    <row r="315" spans="2:14" x14ac:dyDescent="0.3">
      <c r="B315" s="5">
        <f t="shared" si="56"/>
        <v>46331</v>
      </c>
      <c r="C315" s="3">
        <v>11</v>
      </c>
      <c r="D315" s="3">
        <v>5</v>
      </c>
      <c r="E315" s="3">
        <f t="shared" si="55"/>
        <v>5</v>
      </c>
      <c r="F315" s="4" t="str">
        <f>IF($E315=참조!$B$2,참조!$C$2,IF($E315=참조!$B$3,참조!$C$3,IF($E315=참조!$B$4,참조!$C$4,IF($E315=참조!$B$5,참조!$C$5,IF($E315=참조!$B$6,참조!$C$6,IF($E315=참조!$B$7,참조!$C$7,IF($E315=참조!$B$8,참조!$C$8,"")))))))</f>
        <v>木</v>
      </c>
      <c r="G315" s="4" t="str">
        <f>IF($F315=참조!$C$2,참조!$D$2,IF($F315=참조!$C$8,참조!$D$2,IF(COUNTIF('2026년휴일'!$B:$B,$B315)&gt;0,참조!$D$2,참조!$D$3)))</f>
        <v>勤</v>
      </c>
      <c r="H315" s="31">
        <f>IF($G315=참조!$D$3,참조!$E$3,참조!$E$2)</f>
        <v>1000</v>
      </c>
      <c r="I315" s="31">
        <f>SUMIFS(지출기록_11월!$H$3:$H$314,지출기록_11월!$E$3:$E$314,B315,지출기록_11월!$F$3:$F$314,참조!$F$2)</f>
        <v>0</v>
      </c>
      <c r="J315" s="31">
        <f>SUMIFS(지출기록_11월!$H$3:$H$314,지출기록_11월!$E$3:$E$314,B315,지출기록_11월!$F$3:$F$314,참조!$F$3)</f>
        <v>0</v>
      </c>
      <c r="K315" s="31">
        <f t="shared" si="68"/>
        <v>0</v>
      </c>
      <c r="L315" s="31">
        <f t="shared" ca="1" si="57"/>
        <v>1000</v>
      </c>
      <c r="M315" s="31">
        <f t="shared" si="51"/>
        <v>1000</v>
      </c>
    </row>
    <row r="316" spans="2:14" x14ac:dyDescent="0.3">
      <c r="B316" s="5">
        <f t="shared" si="56"/>
        <v>46332</v>
      </c>
      <c r="C316" s="3">
        <v>11</v>
      </c>
      <c r="D316" s="3">
        <v>6</v>
      </c>
      <c r="E316" s="3">
        <f t="shared" si="55"/>
        <v>6</v>
      </c>
      <c r="F316" s="4" t="str">
        <f>IF($E316=참조!$B$2,참조!$C$2,IF($E316=참조!$B$3,참조!$C$3,IF($E316=참조!$B$4,참조!$C$4,IF($E316=참조!$B$5,참조!$C$5,IF($E316=참조!$B$6,참조!$C$6,IF($E316=참조!$B$7,참조!$C$7,IF($E316=참조!$B$8,참조!$C$8,"")))))))</f>
        <v>金</v>
      </c>
      <c r="G316" s="4" t="str">
        <f>IF($F316=참조!$C$2,참조!$D$2,IF($F316=참조!$C$8,참조!$D$2,IF(COUNTIF('2026년휴일'!$B:$B,$B316)&gt;0,참조!$D$2,참조!$D$3)))</f>
        <v>勤</v>
      </c>
      <c r="H316" s="31">
        <f>IF($G316=참조!$D$3,참조!$E$3,참조!$E$2)</f>
        <v>1000</v>
      </c>
      <c r="I316" s="31">
        <f>SUMIFS(지출기록_11월!$H$3:$H$314,지출기록_11월!$E$3:$E$314,B316,지출기록_11월!$F$3:$F$314,참조!$F$2)</f>
        <v>0</v>
      </c>
      <c r="J316" s="31">
        <f>SUMIFS(지출기록_11월!$H$3:$H$314,지출기록_11월!$E$3:$E$314,B316,지출기록_11월!$F$3:$F$314,참조!$F$3)</f>
        <v>0</v>
      </c>
      <c r="K316" s="31">
        <f t="shared" si="68"/>
        <v>0</v>
      </c>
      <c r="L316" s="31">
        <f t="shared" ca="1" si="57"/>
        <v>1000</v>
      </c>
      <c r="M316" s="31">
        <f t="shared" si="51"/>
        <v>1000</v>
      </c>
    </row>
    <row r="317" spans="2:14" x14ac:dyDescent="0.3">
      <c r="B317" s="5">
        <f t="shared" si="56"/>
        <v>46333</v>
      </c>
      <c r="C317" s="3">
        <v>11</v>
      </c>
      <c r="D317" s="3">
        <v>7</v>
      </c>
      <c r="E317" s="3">
        <f t="shared" si="55"/>
        <v>7</v>
      </c>
      <c r="F317" s="4" t="str">
        <f>IF($E317=참조!$B$2,참조!$C$2,IF($E317=참조!$B$3,참조!$C$3,IF($E317=참조!$B$4,참조!$C$4,IF($E317=참조!$B$5,참조!$C$5,IF($E317=참조!$B$6,참조!$C$6,IF($E317=참조!$B$7,참조!$C$7,IF($E317=참조!$B$8,참조!$C$8,"")))))))</f>
        <v>土</v>
      </c>
      <c r="G317" s="4" t="str">
        <f>IF($F317=참조!$C$2,참조!$D$2,IF($F317=참조!$C$8,참조!$D$2,IF(COUNTIF('2026년휴일'!$B:$B,$B317)&gt;0,참조!$D$2,참조!$D$3)))</f>
        <v>休</v>
      </c>
      <c r="H317" s="31">
        <f>IF($G317=참조!$D$3,참조!$E$3,참조!$E$2)</f>
        <v>5000</v>
      </c>
      <c r="I317" s="31">
        <f>SUMIFS(지출기록_11월!$H$3:$H$314,지출기록_11월!$E$3:$E$314,B317,지출기록_11월!$F$3:$F$314,참조!$F$2)</f>
        <v>0</v>
      </c>
      <c r="J317" s="31">
        <f>SUMIFS(지출기록_11월!$H$3:$H$314,지출기록_11월!$E$3:$E$314,B317,지출기록_11월!$F$3:$F$314,참조!$F$3)</f>
        <v>0</v>
      </c>
      <c r="K317" s="31">
        <f t="shared" si="68"/>
        <v>0</v>
      </c>
      <c r="L317" s="31">
        <f t="shared" ca="1" si="57"/>
        <v>5000</v>
      </c>
      <c r="M317" s="31">
        <f t="shared" si="51"/>
        <v>5000</v>
      </c>
    </row>
    <row r="318" spans="2:14" x14ac:dyDescent="0.3">
      <c r="B318" s="5">
        <f t="shared" si="56"/>
        <v>46334</v>
      </c>
      <c r="C318" s="3">
        <v>11</v>
      </c>
      <c r="D318" s="3">
        <v>8</v>
      </c>
      <c r="E318" s="3">
        <f t="shared" si="55"/>
        <v>1</v>
      </c>
      <c r="F318" s="4" t="str">
        <f>IF($E318=참조!$B$2,참조!$C$2,IF($E318=참조!$B$3,참조!$C$3,IF($E318=참조!$B$4,참조!$C$4,IF($E318=참조!$B$5,참조!$C$5,IF($E318=참조!$B$6,참조!$C$6,IF($E318=참조!$B$7,참조!$C$7,IF($E318=참조!$B$8,참조!$C$8,"")))))))</f>
        <v>日</v>
      </c>
      <c r="G318" s="4" t="str">
        <f>IF($F318=참조!$C$2,참조!$D$2,IF($F318=참조!$C$8,참조!$D$2,IF(COUNTIF('2026년휴일'!$B:$B,$B318)&gt;0,참조!$D$2,참조!$D$3)))</f>
        <v>休</v>
      </c>
      <c r="H318" s="31">
        <f>IF($G318=참조!$D$3,참조!$E$3,참조!$E$2)</f>
        <v>5000</v>
      </c>
      <c r="I318" s="31">
        <f>SUMIFS(지출기록_11월!$H$3:$H$314,지출기록_11월!$E$3:$E$314,B318,지출기록_11월!$F$3:$F$314,참조!$F$2)</f>
        <v>0</v>
      </c>
      <c r="J318" s="31">
        <f>SUMIFS(지출기록_11월!$H$3:$H$314,지출기록_11월!$E$3:$E$314,B318,지출기록_11월!$F$3:$F$314,참조!$F$3)</f>
        <v>0</v>
      </c>
      <c r="K318" s="31">
        <f t="shared" si="68"/>
        <v>0</v>
      </c>
      <c r="L318" s="31">
        <f t="shared" ca="1" si="57"/>
        <v>5000</v>
      </c>
      <c r="M318" s="31">
        <f t="shared" ref="M318:M371" si="69">$H318-$K318</f>
        <v>5000</v>
      </c>
    </row>
    <row r="319" spans="2:14" x14ac:dyDescent="0.3">
      <c r="B319" s="5">
        <f t="shared" si="56"/>
        <v>46335</v>
      </c>
      <c r="C319" s="3">
        <v>11</v>
      </c>
      <c r="D319" s="3">
        <v>9</v>
      </c>
      <c r="E319" s="3">
        <f t="shared" si="55"/>
        <v>2</v>
      </c>
      <c r="F319" s="4" t="str">
        <f>IF($E319=참조!$B$2,참조!$C$2,IF($E319=참조!$B$3,참조!$C$3,IF($E319=참조!$B$4,참조!$C$4,IF($E319=참조!$B$5,참조!$C$5,IF($E319=참조!$B$6,참조!$C$6,IF($E319=참조!$B$7,참조!$C$7,IF($E319=참조!$B$8,참조!$C$8,"")))))))</f>
        <v>月</v>
      </c>
      <c r="G319" s="4" t="str">
        <f>IF($F319=참조!$C$2,참조!$D$2,IF($F319=참조!$C$8,참조!$D$2,IF(COUNTIF('2026년휴일'!$B:$B,$B319)&gt;0,참조!$D$2,참조!$D$3)))</f>
        <v>勤</v>
      </c>
      <c r="H319" s="31">
        <f>IF($G319=참조!$D$3,참조!$E$3,참조!$E$2)</f>
        <v>1000</v>
      </c>
      <c r="I319" s="31">
        <f>SUMIFS(지출기록_11월!$H$3:$H$314,지출기록_11월!$E$3:$E$314,B319,지출기록_11월!$F$3:$F$314,참조!$F$2)</f>
        <v>0</v>
      </c>
      <c r="J319" s="31">
        <f>SUMIFS(지출기록_11월!$H$3:$H$314,지출기록_11월!$E$3:$E$314,B319,지출기록_11월!$F$3:$F$314,참조!$F$3)</f>
        <v>0</v>
      </c>
      <c r="K319" s="31">
        <f t="shared" si="68"/>
        <v>0</v>
      </c>
      <c r="L319" s="31">
        <f t="shared" ca="1" si="57"/>
        <v>1000</v>
      </c>
      <c r="M319" s="31">
        <f t="shared" si="69"/>
        <v>1000</v>
      </c>
      <c r="N319" s="3">
        <f>SUM(K313:K319)</f>
        <v>0</v>
      </c>
    </row>
    <row r="320" spans="2:14" x14ac:dyDescent="0.3">
      <c r="B320" s="5">
        <f t="shared" si="56"/>
        <v>46336</v>
      </c>
      <c r="C320" s="3">
        <v>11</v>
      </c>
      <c r="D320" s="3">
        <v>10</v>
      </c>
      <c r="E320" s="3">
        <f t="shared" si="55"/>
        <v>3</v>
      </c>
      <c r="F320" s="4" t="str">
        <f>IF($E320=참조!$B$2,참조!$C$2,IF($E320=참조!$B$3,참조!$C$3,IF($E320=참조!$B$4,참조!$C$4,IF($E320=참조!$B$5,참조!$C$5,IF($E320=참조!$B$6,참조!$C$6,IF($E320=참조!$B$7,참조!$C$7,IF($E320=참조!$B$8,참조!$C$8,"")))))))</f>
        <v>火</v>
      </c>
      <c r="G320" s="4" t="str">
        <f>IF($F320=참조!$C$2,참조!$D$2,IF($F320=참조!$C$8,참조!$D$2,IF(COUNTIF('2026년휴일'!$B:$B,$B320)&gt;0,참조!$D$2,참조!$D$3)))</f>
        <v>勤</v>
      </c>
      <c r="H320" s="31">
        <f>IF($G320=참조!$D$3,참조!$E$3,참조!$E$2)</f>
        <v>1000</v>
      </c>
      <c r="I320" s="31">
        <f>SUMIFS(지출기록_11월!$H$3:$H$314,지출기록_11월!$E$3:$E$314,B320,지출기록_11월!$F$3:$F$314,참조!$F$2)</f>
        <v>0</v>
      </c>
      <c r="J320" s="31">
        <f>SUMIFS(지출기록_11월!$H$3:$H$314,지출기록_11월!$E$3:$E$314,B320,지출기록_11월!$F$3:$F$314,참조!$F$3)</f>
        <v>0</v>
      </c>
      <c r="K320" s="31">
        <f t="shared" si="68"/>
        <v>0</v>
      </c>
      <c r="L320" s="31">
        <f t="shared" ca="1" si="57"/>
        <v>1000</v>
      </c>
      <c r="M320" s="31">
        <f t="shared" si="69"/>
        <v>1000</v>
      </c>
    </row>
    <row r="321" spans="2:14" x14ac:dyDescent="0.3">
      <c r="B321" s="5">
        <f t="shared" si="56"/>
        <v>46337</v>
      </c>
      <c r="C321" s="3">
        <v>11</v>
      </c>
      <c r="D321" s="3">
        <v>11</v>
      </c>
      <c r="E321" s="3">
        <f t="shared" si="55"/>
        <v>4</v>
      </c>
      <c r="F321" s="4" t="str">
        <f>IF($E321=참조!$B$2,참조!$C$2,IF($E321=참조!$B$3,참조!$C$3,IF($E321=참조!$B$4,참조!$C$4,IF($E321=참조!$B$5,참조!$C$5,IF($E321=참조!$B$6,참조!$C$6,IF($E321=참조!$B$7,참조!$C$7,IF($E321=참조!$B$8,참조!$C$8,"")))))))</f>
        <v>水</v>
      </c>
      <c r="G321" s="4" t="str">
        <f>IF($F321=참조!$C$2,참조!$D$2,IF($F321=참조!$C$8,참조!$D$2,IF(COUNTIF('2026년휴일'!$B:$B,$B321)&gt;0,참조!$D$2,참조!$D$3)))</f>
        <v>勤</v>
      </c>
      <c r="H321" s="31">
        <f>IF($G321=참조!$D$3,참조!$E$3,참조!$E$2)</f>
        <v>1000</v>
      </c>
      <c r="I321" s="31">
        <f>SUMIFS(지출기록_11월!$H$3:$H$314,지출기록_11월!$E$3:$E$314,B321,지출기록_11월!$F$3:$F$314,참조!$F$2)</f>
        <v>0</v>
      </c>
      <c r="J321" s="31">
        <f>SUMIFS(지출기록_11월!$H$3:$H$314,지출기록_11월!$E$3:$E$314,B321,지출기록_11월!$F$3:$F$314,참조!$F$3)</f>
        <v>0</v>
      </c>
      <c r="K321" s="31">
        <f t="shared" si="68"/>
        <v>0</v>
      </c>
      <c r="L321" s="31">
        <f t="shared" ca="1" si="57"/>
        <v>1000</v>
      </c>
      <c r="M321" s="31">
        <f t="shared" si="69"/>
        <v>1000</v>
      </c>
    </row>
    <row r="322" spans="2:14" x14ac:dyDescent="0.3">
      <c r="B322" s="5">
        <f t="shared" si="56"/>
        <v>46338</v>
      </c>
      <c r="C322" s="3">
        <v>11</v>
      </c>
      <c r="D322" s="3">
        <v>12</v>
      </c>
      <c r="E322" s="3">
        <f t="shared" si="55"/>
        <v>5</v>
      </c>
      <c r="F322" s="4" t="str">
        <f>IF($E322=참조!$B$2,참조!$C$2,IF($E322=참조!$B$3,참조!$C$3,IF($E322=참조!$B$4,참조!$C$4,IF($E322=참조!$B$5,참조!$C$5,IF($E322=참조!$B$6,참조!$C$6,IF($E322=참조!$B$7,참조!$C$7,IF($E322=참조!$B$8,참조!$C$8,"")))))))</f>
        <v>木</v>
      </c>
      <c r="G322" s="4" t="str">
        <f>IF($F322=참조!$C$2,참조!$D$2,IF($F322=참조!$C$8,참조!$D$2,IF(COUNTIF('2026년휴일'!$B:$B,$B322)&gt;0,참조!$D$2,참조!$D$3)))</f>
        <v>勤</v>
      </c>
      <c r="H322" s="31">
        <f>IF($G322=참조!$D$3,참조!$E$3,참조!$E$2)</f>
        <v>1000</v>
      </c>
      <c r="I322" s="31">
        <f>SUMIFS(지출기록_11월!$H$3:$H$314,지출기록_11월!$E$3:$E$314,B322,지출기록_11월!$F$3:$F$314,참조!$F$2)</f>
        <v>0</v>
      </c>
      <c r="J322" s="31">
        <f>SUMIFS(지출기록_11월!$H$3:$H$314,지출기록_11월!$E$3:$E$314,B322,지출기록_11월!$F$3:$F$314,참조!$F$3)</f>
        <v>0</v>
      </c>
      <c r="K322" s="31">
        <f t="shared" ref="K322:K323" si="70">I322-J322</f>
        <v>0</v>
      </c>
      <c r="L322" s="31">
        <f t="shared" ca="1" si="57"/>
        <v>1000</v>
      </c>
      <c r="M322" s="31">
        <f t="shared" si="69"/>
        <v>1000</v>
      </c>
    </row>
    <row r="323" spans="2:14" x14ac:dyDescent="0.3">
      <c r="B323" s="5">
        <f t="shared" si="56"/>
        <v>46339</v>
      </c>
      <c r="C323" s="3">
        <v>11</v>
      </c>
      <c r="D323" s="3">
        <v>13</v>
      </c>
      <c r="E323" s="3">
        <f t="shared" si="55"/>
        <v>6</v>
      </c>
      <c r="F323" s="4" t="str">
        <f>IF($E323=참조!$B$2,참조!$C$2,IF($E323=참조!$B$3,참조!$C$3,IF($E323=참조!$B$4,참조!$C$4,IF($E323=참조!$B$5,참조!$C$5,IF($E323=참조!$B$6,참조!$C$6,IF($E323=참조!$B$7,참조!$C$7,IF($E323=참조!$B$8,참조!$C$8,"")))))))</f>
        <v>金</v>
      </c>
      <c r="G323" s="4" t="str">
        <f>IF($F323=참조!$C$2,참조!$D$2,IF($F323=참조!$C$8,참조!$D$2,IF(COUNTIF('2026년휴일'!$B:$B,$B323)&gt;0,참조!$D$2,참조!$D$3)))</f>
        <v>勤</v>
      </c>
      <c r="H323" s="31">
        <f>IF($G323=참조!$D$3,참조!$E$3,참조!$E$2)</f>
        <v>1000</v>
      </c>
      <c r="I323" s="31">
        <f>SUMIFS(지출기록_11월!$H$3:$H$314,지출기록_11월!$E$3:$E$314,B323,지출기록_11월!$F$3:$F$314,참조!$F$2)</f>
        <v>0</v>
      </c>
      <c r="J323" s="31">
        <f>SUMIFS(지출기록_11월!$H$3:$H$314,지출기록_11월!$E$3:$E$314,B323,지출기록_11월!$F$3:$F$314,참조!$F$3)</f>
        <v>0</v>
      </c>
      <c r="K323" s="31">
        <f t="shared" si="70"/>
        <v>0</v>
      </c>
      <c r="L323" s="31">
        <f t="shared" ca="1" si="57"/>
        <v>1000</v>
      </c>
      <c r="M323" s="31">
        <f t="shared" si="69"/>
        <v>1000</v>
      </c>
    </row>
    <row r="324" spans="2:14" x14ac:dyDescent="0.3">
      <c r="B324" s="5">
        <f t="shared" si="56"/>
        <v>46340</v>
      </c>
      <c r="C324" s="3">
        <v>11</v>
      </c>
      <c r="D324" s="3">
        <v>14</v>
      </c>
      <c r="E324" s="3">
        <f t="shared" si="55"/>
        <v>7</v>
      </c>
      <c r="F324" s="4" t="str">
        <f>IF($E324=참조!$B$2,참조!$C$2,IF($E324=참조!$B$3,참조!$C$3,IF($E324=참조!$B$4,참조!$C$4,IF($E324=참조!$B$5,참조!$C$5,IF($E324=참조!$B$6,참조!$C$6,IF($E324=참조!$B$7,참조!$C$7,IF($E324=참조!$B$8,참조!$C$8,"")))))))</f>
        <v>土</v>
      </c>
      <c r="G324" s="4" t="str">
        <f>IF($F324=참조!$C$2,참조!$D$2,IF($F324=참조!$C$8,참조!$D$2,IF(COUNTIF('2026년휴일'!$B:$B,$B324)&gt;0,참조!$D$2,참조!$D$3)))</f>
        <v>休</v>
      </c>
      <c r="H324" s="31">
        <f>IF($G324=참조!$D$3,참조!$E$3,참조!$E$2)</f>
        <v>5000</v>
      </c>
      <c r="I324" s="31">
        <f>SUMIFS(지출기록_11월!$H$3:$H$314,지출기록_11월!$E$3:$E$314,B324,지출기록_11월!$F$3:$F$314,참조!$F$2)</f>
        <v>0</v>
      </c>
      <c r="J324" s="31">
        <f>SUMIFS(지출기록_11월!$H$3:$H$314,지출기록_11월!$E$3:$E$314,B324,지출기록_11월!$F$3:$F$314,참조!$F$3)</f>
        <v>0</v>
      </c>
      <c r="K324" s="31">
        <f t="shared" ref="K324:K325" si="71">I324-J324</f>
        <v>0</v>
      </c>
      <c r="L324" s="31">
        <f t="shared" ca="1" si="57"/>
        <v>5000</v>
      </c>
      <c r="M324" s="31">
        <f t="shared" si="69"/>
        <v>5000</v>
      </c>
    </row>
    <row r="325" spans="2:14" x14ac:dyDescent="0.3">
      <c r="B325" s="5">
        <f t="shared" si="56"/>
        <v>46341</v>
      </c>
      <c r="C325" s="3">
        <v>11</v>
      </c>
      <c r="D325" s="3">
        <v>15</v>
      </c>
      <c r="E325" s="3">
        <f t="shared" si="55"/>
        <v>1</v>
      </c>
      <c r="F325" s="4" t="str">
        <f>IF($E325=참조!$B$2,참조!$C$2,IF($E325=참조!$B$3,참조!$C$3,IF($E325=참조!$B$4,참조!$C$4,IF($E325=참조!$B$5,참조!$C$5,IF($E325=참조!$B$6,참조!$C$6,IF($E325=참조!$B$7,참조!$C$7,IF($E325=참조!$B$8,참조!$C$8,"")))))))</f>
        <v>日</v>
      </c>
      <c r="G325" s="4" t="str">
        <f>IF($F325=참조!$C$2,참조!$D$2,IF($F325=참조!$C$8,참조!$D$2,IF(COUNTIF('2026년휴일'!$B:$B,$B325)&gt;0,참조!$D$2,참조!$D$3)))</f>
        <v>休</v>
      </c>
      <c r="H325" s="31">
        <f>IF($G325=참조!$D$3,참조!$E$3,참조!$E$2)</f>
        <v>5000</v>
      </c>
      <c r="I325" s="31">
        <f>SUMIFS(지출기록_11월!$H$3:$H$314,지출기록_11월!$E$3:$E$314,B325,지출기록_11월!$F$3:$F$314,참조!$F$2)</f>
        <v>0</v>
      </c>
      <c r="J325" s="31">
        <f>SUMIFS(지출기록_11월!$H$3:$H$314,지출기록_11월!$E$3:$E$314,B325,지출기록_11월!$F$3:$F$314,참조!$F$3)</f>
        <v>0</v>
      </c>
      <c r="K325" s="31">
        <f t="shared" si="71"/>
        <v>0</v>
      </c>
      <c r="L325" s="31">
        <f t="shared" ca="1" si="57"/>
        <v>5000</v>
      </c>
      <c r="M325" s="31">
        <f t="shared" si="69"/>
        <v>5000</v>
      </c>
    </row>
    <row r="326" spans="2:14" x14ac:dyDescent="0.3">
      <c r="B326" s="5">
        <f t="shared" si="56"/>
        <v>46342</v>
      </c>
      <c r="C326" s="3">
        <v>11</v>
      </c>
      <c r="D326" s="3">
        <v>16</v>
      </c>
      <c r="E326" s="3">
        <f t="shared" si="55"/>
        <v>2</v>
      </c>
      <c r="F326" s="4" t="str">
        <f>IF($E326=참조!$B$2,참조!$C$2,IF($E326=참조!$B$3,참조!$C$3,IF($E326=참조!$B$4,참조!$C$4,IF($E326=참조!$B$5,참조!$C$5,IF($E326=참조!$B$6,참조!$C$6,IF($E326=참조!$B$7,참조!$C$7,IF($E326=참조!$B$8,참조!$C$8,"")))))))</f>
        <v>月</v>
      </c>
      <c r="G326" s="4" t="str">
        <f>IF($F326=참조!$C$2,참조!$D$2,IF($F326=참조!$C$8,참조!$D$2,IF(COUNTIF('2026년휴일'!$B:$B,$B326)&gt;0,참조!$D$2,참조!$D$3)))</f>
        <v>勤</v>
      </c>
      <c r="H326" s="31">
        <f>IF($G326=참조!$D$3,참조!$E$3,참조!$E$2)</f>
        <v>1000</v>
      </c>
      <c r="I326" s="31">
        <f>SUMIFS(지출기록_11월!$H$3:$H$314,지출기록_11월!$E$3:$E$314,B326,지출기록_11월!$F$3:$F$314,참조!$F$2)</f>
        <v>0</v>
      </c>
      <c r="J326" s="31">
        <f>SUMIFS(지출기록_11월!$H$3:$H$314,지출기록_11월!$E$3:$E$314,B326,지출기록_11월!$F$3:$F$314,참조!$F$3)</f>
        <v>0</v>
      </c>
      <c r="K326" s="31">
        <f t="shared" ref="K326:K329" si="72">I326-J326</f>
        <v>0</v>
      </c>
      <c r="L326" s="31">
        <f t="shared" ca="1" si="57"/>
        <v>1000</v>
      </c>
      <c r="M326" s="31">
        <f t="shared" si="69"/>
        <v>1000</v>
      </c>
      <c r="N326" s="3">
        <f>SUM(K320:K326)</f>
        <v>0</v>
      </c>
    </row>
    <row r="327" spans="2:14" x14ac:dyDescent="0.3">
      <c r="B327" s="5">
        <f t="shared" si="56"/>
        <v>46343</v>
      </c>
      <c r="C327" s="3">
        <v>11</v>
      </c>
      <c r="D327" s="3">
        <v>17</v>
      </c>
      <c r="E327" s="3">
        <f t="shared" ref="E327:E371" si="73">WEEKDAY(B327)</f>
        <v>3</v>
      </c>
      <c r="F327" s="4" t="str">
        <f>IF($E327=참조!$B$2,참조!$C$2,IF($E327=참조!$B$3,참조!$C$3,IF($E327=참조!$B$4,참조!$C$4,IF($E327=참조!$B$5,참조!$C$5,IF($E327=참조!$B$6,참조!$C$6,IF($E327=참조!$B$7,참조!$C$7,IF($E327=참조!$B$8,참조!$C$8,"")))))))</f>
        <v>火</v>
      </c>
      <c r="G327" s="4" t="str">
        <f>IF($F327=참조!$C$2,참조!$D$2,IF($F327=참조!$C$8,참조!$D$2,IF(COUNTIF('2026년휴일'!$B:$B,$B327)&gt;0,참조!$D$2,참조!$D$3)))</f>
        <v>勤</v>
      </c>
      <c r="H327" s="31">
        <f>IF($G327=참조!$D$3,참조!$E$3,참조!$E$2)</f>
        <v>1000</v>
      </c>
      <c r="I327" s="31">
        <f>SUMIFS(지출기록_11월!$H$3:$H$314,지출기록_11월!$E$3:$E$314,B327,지출기록_11월!$F$3:$F$314,참조!$F$2)</f>
        <v>0</v>
      </c>
      <c r="J327" s="31">
        <f>SUMIFS(지출기록_11월!$H$3:$H$314,지출기록_11월!$E$3:$E$314,B327,지출기록_11월!$F$3:$F$314,참조!$F$3)</f>
        <v>0</v>
      </c>
      <c r="K327" s="31">
        <f t="shared" si="72"/>
        <v>0</v>
      </c>
      <c r="L327" s="31">
        <f t="shared" ca="1" si="57"/>
        <v>1000</v>
      </c>
      <c r="M327" s="31">
        <f t="shared" si="69"/>
        <v>1000</v>
      </c>
    </row>
    <row r="328" spans="2:14" x14ac:dyDescent="0.3">
      <c r="B328" s="5">
        <f t="shared" ref="B328:B371" si="74">DATE($A$1,C328,D328)</f>
        <v>46344</v>
      </c>
      <c r="C328" s="3">
        <v>11</v>
      </c>
      <c r="D328" s="3">
        <v>18</v>
      </c>
      <c r="E328" s="3">
        <f t="shared" si="73"/>
        <v>4</v>
      </c>
      <c r="F328" s="4" t="str">
        <f>IF($E328=참조!$B$2,참조!$C$2,IF($E328=참조!$B$3,참조!$C$3,IF($E328=참조!$B$4,참조!$C$4,IF($E328=참조!$B$5,참조!$C$5,IF($E328=참조!$B$6,참조!$C$6,IF($E328=참조!$B$7,참조!$C$7,IF($E328=참조!$B$8,참조!$C$8,"")))))))</f>
        <v>水</v>
      </c>
      <c r="G328" s="4" t="str">
        <f>IF($F328=참조!$C$2,참조!$D$2,IF($F328=참조!$C$8,참조!$D$2,IF(COUNTIF('2026년휴일'!$B:$B,$B328)&gt;0,참조!$D$2,참조!$D$3)))</f>
        <v>勤</v>
      </c>
      <c r="H328" s="31">
        <f>IF($G328=참조!$D$3,참조!$E$3,참조!$E$2)</f>
        <v>1000</v>
      </c>
      <c r="I328" s="31">
        <f>SUMIFS(지출기록_11월!$H$3:$H$314,지출기록_11월!$E$3:$E$314,B328,지출기록_11월!$F$3:$F$314,참조!$F$2)</f>
        <v>0</v>
      </c>
      <c r="J328" s="31">
        <f>SUMIFS(지출기록_11월!$H$3:$H$314,지출기록_11월!$E$3:$E$314,B328,지출기록_11월!$F$3:$F$314,참조!$F$3)</f>
        <v>0</v>
      </c>
      <c r="K328" s="31">
        <f t="shared" si="72"/>
        <v>0</v>
      </c>
      <c r="L328" s="31">
        <f t="shared" ref="L328:L371" ca="1" si="75">IF(B328&gt;$B$2,H328,K328)</f>
        <v>1000</v>
      </c>
      <c r="M328" s="31">
        <f t="shared" si="69"/>
        <v>1000</v>
      </c>
    </row>
    <row r="329" spans="2:14" x14ac:dyDescent="0.3">
      <c r="B329" s="5">
        <f t="shared" si="74"/>
        <v>46345</v>
      </c>
      <c r="C329" s="3">
        <v>11</v>
      </c>
      <c r="D329" s="3">
        <v>19</v>
      </c>
      <c r="E329" s="3">
        <f t="shared" si="73"/>
        <v>5</v>
      </c>
      <c r="F329" s="4" t="str">
        <f>IF($E329=참조!$B$2,참조!$C$2,IF($E329=참조!$B$3,참조!$C$3,IF($E329=참조!$B$4,참조!$C$4,IF($E329=참조!$B$5,참조!$C$5,IF($E329=참조!$B$6,참조!$C$6,IF($E329=참조!$B$7,참조!$C$7,IF($E329=참조!$B$8,참조!$C$8,"")))))))</f>
        <v>木</v>
      </c>
      <c r="G329" s="4" t="str">
        <f>IF($F329=참조!$C$2,참조!$D$2,IF($F329=참조!$C$8,참조!$D$2,IF(COUNTIF('2026년휴일'!$B:$B,$B329)&gt;0,참조!$D$2,참조!$D$3)))</f>
        <v>勤</v>
      </c>
      <c r="H329" s="31">
        <f>IF($G329=참조!$D$3,참조!$E$3,참조!$E$2)</f>
        <v>1000</v>
      </c>
      <c r="I329" s="31">
        <f>SUMIFS(지출기록_11월!$H$3:$H$314,지출기록_11월!$E$3:$E$314,B329,지출기록_11월!$F$3:$F$314,참조!$F$2)</f>
        <v>0</v>
      </c>
      <c r="J329" s="31">
        <f>SUMIFS(지출기록_11월!$H$3:$H$314,지출기록_11월!$E$3:$E$314,B329,지출기록_11월!$F$3:$F$314,참조!$F$3)</f>
        <v>0</v>
      </c>
      <c r="K329" s="31">
        <f t="shared" si="72"/>
        <v>0</v>
      </c>
      <c r="L329" s="31">
        <f t="shared" ca="1" si="75"/>
        <v>1000</v>
      </c>
      <c r="M329" s="31">
        <f t="shared" si="69"/>
        <v>1000</v>
      </c>
    </row>
    <row r="330" spans="2:14" x14ac:dyDescent="0.3">
      <c r="B330" s="5">
        <f t="shared" si="74"/>
        <v>46346</v>
      </c>
      <c r="C330" s="3">
        <v>11</v>
      </c>
      <c r="D330" s="3">
        <v>20</v>
      </c>
      <c r="E330" s="3">
        <f t="shared" si="73"/>
        <v>6</v>
      </c>
      <c r="F330" s="4" t="str">
        <f>IF($E330=참조!$B$2,참조!$C$2,IF($E330=참조!$B$3,참조!$C$3,IF($E330=참조!$B$4,참조!$C$4,IF($E330=참조!$B$5,참조!$C$5,IF($E330=참조!$B$6,참조!$C$6,IF($E330=참조!$B$7,참조!$C$7,IF($E330=참조!$B$8,참조!$C$8,"")))))))</f>
        <v>金</v>
      </c>
      <c r="G330" s="4" t="str">
        <f>IF($F330=참조!$C$2,참조!$D$2,IF($F330=참조!$C$8,참조!$D$2,IF(COUNTIF('2026년휴일'!$B:$B,$B330)&gt;0,참조!$D$2,참조!$D$3)))</f>
        <v>勤</v>
      </c>
      <c r="H330" s="31">
        <f>IF($G330=참조!$D$3,참조!$E$3,참조!$E$2)</f>
        <v>1000</v>
      </c>
      <c r="I330" s="31">
        <f>SUMIFS(지출기록_11월!$H$3:$H$314,지출기록_11월!$E$3:$E$314,B330,지출기록_11월!$F$3:$F$314,참조!$F$2)</f>
        <v>0</v>
      </c>
      <c r="J330" s="31">
        <f>SUMIFS(지출기록_11월!$H$3:$H$314,지출기록_11월!$E$3:$E$314,B330,지출기록_11월!$F$3:$F$314,참조!$F$3)</f>
        <v>0</v>
      </c>
      <c r="K330" s="31">
        <f t="shared" ref="K330:K331" si="76">I330-J330</f>
        <v>0</v>
      </c>
      <c r="L330" s="31">
        <f t="shared" ca="1" si="75"/>
        <v>1000</v>
      </c>
      <c r="M330" s="31">
        <f t="shared" si="69"/>
        <v>1000</v>
      </c>
    </row>
    <row r="331" spans="2:14" x14ac:dyDescent="0.3">
      <c r="B331" s="5">
        <f t="shared" si="74"/>
        <v>46347</v>
      </c>
      <c r="C331" s="3">
        <v>11</v>
      </c>
      <c r="D331" s="3">
        <v>21</v>
      </c>
      <c r="E331" s="3">
        <f t="shared" si="73"/>
        <v>7</v>
      </c>
      <c r="F331" s="4" t="str">
        <f>IF($E331=참조!$B$2,참조!$C$2,IF($E331=참조!$B$3,참조!$C$3,IF($E331=참조!$B$4,참조!$C$4,IF($E331=참조!$B$5,참조!$C$5,IF($E331=참조!$B$6,참조!$C$6,IF($E331=참조!$B$7,참조!$C$7,IF($E331=참조!$B$8,참조!$C$8,"")))))))</f>
        <v>土</v>
      </c>
      <c r="G331" s="4" t="str">
        <f>IF($F331=참조!$C$2,참조!$D$2,IF($F331=참조!$C$8,참조!$D$2,IF(COUNTIF('2026년휴일'!$B:$B,$B331)&gt;0,참조!$D$2,참조!$D$3)))</f>
        <v>休</v>
      </c>
      <c r="H331" s="31">
        <f>IF($G331=참조!$D$3,참조!$E$3,참조!$E$2)</f>
        <v>5000</v>
      </c>
      <c r="I331" s="31">
        <f>SUMIFS(지출기록_11월!$H$3:$H$314,지출기록_11월!$E$3:$E$314,B331,지출기록_11월!$F$3:$F$314,참조!$F$2)</f>
        <v>0</v>
      </c>
      <c r="J331" s="31">
        <f>SUMIFS(지출기록_11월!$H$3:$H$314,지출기록_11월!$E$3:$E$314,B331,지출기록_11월!$F$3:$F$314,참조!$F$3)</f>
        <v>0</v>
      </c>
      <c r="K331" s="31">
        <f t="shared" si="76"/>
        <v>0</v>
      </c>
      <c r="L331" s="31">
        <f t="shared" ca="1" si="75"/>
        <v>5000</v>
      </c>
      <c r="M331" s="31">
        <f t="shared" si="69"/>
        <v>5000</v>
      </c>
    </row>
    <row r="332" spans="2:14" x14ac:dyDescent="0.3">
      <c r="B332" s="5">
        <f t="shared" si="74"/>
        <v>46348</v>
      </c>
      <c r="C332" s="3">
        <v>11</v>
      </c>
      <c r="D332" s="3">
        <v>22</v>
      </c>
      <c r="E332" s="3">
        <f t="shared" si="73"/>
        <v>1</v>
      </c>
      <c r="F332" s="4" t="str">
        <f>IF($E332=참조!$B$2,참조!$C$2,IF($E332=참조!$B$3,참조!$C$3,IF($E332=참조!$B$4,참조!$C$4,IF($E332=참조!$B$5,참조!$C$5,IF($E332=참조!$B$6,참조!$C$6,IF($E332=참조!$B$7,참조!$C$7,IF($E332=참조!$B$8,참조!$C$8,"")))))))</f>
        <v>日</v>
      </c>
      <c r="G332" s="4" t="str">
        <f>IF($F332=참조!$C$2,참조!$D$2,IF($F332=참조!$C$8,참조!$D$2,IF(COUNTIF('2026년휴일'!$B:$B,$B332)&gt;0,참조!$D$2,참조!$D$3)))</f>
        <v>休</v>
      </c>
      <c r="H332" s="31">
        <f>IF($G332=참조!$D$3,참조!$E$3,참조!$E$2)</f>
        <v>5000</v>
      </c>
      <c r="I332" s="31">
        <f>SUMIFS(지출기록_11월!$H$3:$H$314,지출기록_11월!$E$3:$E$314,B332,지출기록_11월!$F$3:$F$314,참조!$F$2)</f>
        <v>0</v>
      </c>
      <c r="J332" s="31">
        <f>SUMIFS(지출기록_11월!$H$3:$H$314,지출기록_11월!$E$3:$E$314,B332,지출기록_11월!$F$3:$F$314,참조!$F$3)</f>
        <v>0</v>
      </c>
      <c r="K332" s="31">
        <f t="shared" ref="K332:K337" si="77">I332-J332</f>
        <v>0</v>
      </c>
      <c r="L332" s="31">
        <f t="shared" ca="1" si="75"/>
        <v>5000</v>
      </c>
      <c r="M332" s="31">
        <f t="shared" si="69"/>
        <v>5000</v>
      </c>
    </row>
    <row r="333" spans="2:14" x14ac:dyDescent="0.3">
      <c r="B333" s="5">
        <f t="shared" si="74"/>
        <v>46349</v>
      </c>
      <c r="C333" s="3">
        <v>11</v>
      </c>
      <c r="D333" s="3">
        <v>23</v>
      </c>
      <c r="E333" s="3">
        <f t="shared" si="73"/>
        <v>2</v>
      </c>
      <c r="F333" s="4" t="str">
        <f>IF($E333=참조!$B$2,참조!$C$2,IF($E333=참조!$B$3,참조!$C$3,IF($E333=참조!$B$4,참조!$C$4,IF($E333=참조!$B$5,참조!$C$5,IF($E333=참조!$B$6,참조!$C$6,IF($E333=참조!$B$7,참조!$C$7,IF($E333=참조!$B$8,참조!$C$8,"")))))))</f>
        <v>月</v>
      </c>
      <c r="G333" s="4" t="str">
        <f>IF($F333=참조!$C$2,참조!$D$2,IF($F333=참조!$C$8,참조!$D$2,IF(COUNTIF('2026년휴일'!$B:$B,$B333)&gt;0,참조!$D$2,참조!$D$3)))</f>
        <v>休</v>
      </c>
      <c r="H333" s="31">
        <f>IF($G333=참조!$D$3,참조!$E$3,참조!$E$2)</f>
        <v>5000</v>
      </c>
      <c r="I333" s="31">
        <f>SUMIFS(지출기록_11월!$H$3:$H$314,지출기록_11월!$E$3:$E$314,B333,지출기록_11월!$F$3:$F$314,참조!$F$2)</f>
        <v>0</v>
      </c>
      <c r="J333" s="31">
        <f>SUMIFS(지출기록_11월!$H$3:$H$314,지출기록_11월!$E$3:$E$314,B333,지출기록_11월!$F$3:$F$314,참조!$F$3)</f>
        <v>0</v>
      </c>
      <c r="K333" s="31">
        <f t="shared" si="77"/>
        <v>0</v>
      </c>
      <c r="L333" s="31">
        <f t="shared" ca="1" si="75"/>
        <v>5000</v>
      </c>
      <c r="M333" s="31">
        <f t="shared" si="69"/>
        <v>5000</v>
      </c>
      <c r="N333" s="3">
        <f>SUM(K327:K333)</f>
        <v>0</v>
      </c>
    </row>
    <row r="334" spans="2:14" x14ac:dyDescent="0.3">
      <c r="B334" s="5">
        <f t="shared" si="74"/>
        <v>46350</v>
      </c>
      <c r="C334" s="3">
        <v>11</v>
      </c>
      <c r="D334" s="3">
        <v>24</v>
      </c>
      <c r="E334" s="3">
        <f t="shared" si="73"/>
        <v>3</v>
      </c>
      <c r="F334" s="4" t="str">
        <f>IF($E334=참조!$B$2,참조!$C$2,IF($E334=참조!$B$3,참조!$C$3,IF($E334=참조!$B$4,참조!$C$4,IF($E334=참조!$B$5,참조!$C$5,IF($E334=참조!$B$6,참조!$C$6,IF($E334=참조!$B$7,참조!$C$7,IF($E334=참조!$B$8,참조!$C$8,"")))))))</f>
        <v>火</v>
      </c>
      <c r="G334" s="4" t="str">
        <f>IF($F334=참조!$C$2,참조!$D$2,IF($F334=참조!$C$8,참조!$D$2,IF(COUNTIF('2026년휴일'!$B:$B,$B334)&gt;0,참조!$D$2,참조!$D$3)))</f>
        <v>勤</v>
      </c>
      <c r="H334" s="31">
        <f>IF($G334=참조!$D$3,참조!$E$3,참조!$E$2)</f>
        <v>1000</v>
      </c>
      <c r="I334" s="31">
        <f>SUMIFS(지출기록_11월!$H$3:$H$314,지출기록_11월!$E$3:$E$314,B334,지출기록_11월!$F$3:$F$314,참조!$F$2)</f>
        <v>0</v>
      </c>
      <c r="J334" s="31">
        <f>SUMIFS(지출기록_11월!$H$3:$H$314,지출기록_11월!$E$3:$E$314,B334,지출기록_11월!$F$3:$F$314,참조!$F$3)</f>
        <v>0</v>
      </c>
      <c r="K334" s="31">
        <f t="shared" si="77"/>
        <v>0</v>
      </c>
      <c r="L334" s="31">
        <f t="shared" ca="1" si="75"/>
        <v>1000</v>
      </c>
      <c r="M334" s="31">
        <f t="shared" si="69"/>
        <v>1000</v>
      </c>
    </row>
    <row r="335" spans="2:14" x14ac:dyDescent="0.3">
      <c r="B335" s="5">
        <f t="shared" si="74"/>
        <v>46351</v>
      </c>
      <c r="C335" s="3">
        <v>11</v>
      </c>
      <c r="D335" s="3">
        <v>25</v>
      </c>
      <c r="E335" s="3">
        <f t="shared" si="73"/>
        <v>4</v>
      </c>
      <c r="F335" s="4" t="str">
        <f>IF($E335=참조!$B$2,참조!$C$2,IF($E335=참조!$B$3,참조!$C$3,IF($E335=참조!$B$4,참조!$C$4,IF($E335=참조!$B$5,참조!$C$5,IF($E335=참조!$B$6,참조!$C$6,IF($E335=참조!$B$7,참조!$C$7,IF($E335=참조!$B$8,참조!$C$8,"")))))))</f>
        <v>水</v>
      </c>
      <c r="G335" s="4" t="str">
        <f>IF($F335=참조!$C$2,참조!$D$2,IF($F335=참조!$C$8,참조!$D$2,IF(COUNTIF('2026년휴일'!$B:$B,$B335)&gt;0,참조!$D$2,참조!$D$3)))</f>
        <v>勤</v>
      </c>
      <c r="H335" s="31">
        <f>IF($G335=참조!$D$3,참조!$E$3,참조!$E$2)</f>
        <v>1000</v>
      </c>
      <c r="I335" s="31">
        <f>SUMIFS(지출기록_11월!$H$3:$H$314,지출기록_11월!$E$3:$E$314,B335,지출기록_11월!$F$3:$F$314,참조!$F$2)</f>
        <v>0</v>
      </c>
      <c r="J335" s="31">
        <f>SUMIFS(지출기록_11월!$H$3:$H$314,지출기록_11월!$E$3:$E$314,B335,지출기록_11월!$F$3:$F$314,참조!$F$3)</f>
        <v>0</v>
      </c>
      <c r="K335" s="31">
        <f t="shared" si="77"/>
        <v>0</v>
      </c>
      <c r="L335" s="31">
        <f t="shared" ca="1" si="75"/>
        <v>1000</v>
      </c>
      <c r="M335" s="31">
        <f t="shared" si="69"/>
        <v>1000</v>
      </c>
    </row>
    <row r="336" spans="2:14" x14ac:dyDescent="0.3">
      <c r="B336" s="5">
        <f t="shared" si="74"/>
        <v>46352</v>
      </c>
      <c r="C336" s="3">
        <v>11</v>
      </c>
      <c r="D336" s="3">
        <v>26</v>
      </c>
      <c r="E336" s="3">
        <f t="shared" si="73"/>
        <v>5</v>
      </c>
      <c r="F336" s="4" t="str">
        <f>IF($E336=참조!$B$2,참조!$C$2,IF($E336=참조!$B$3,참조!$C$3,IF($E336=참조!$B$4,참조!$C$4,IF($E336=참조!$B$5,참조!$C$5,IF($E336=참조!$B$6,참조!$C$6,IF($E336=참조!$B$7,참조!$C$7,IF($E336=참조!$B$8,참조!$C$8,"")))))))</f>
        <v>木</v>
      </c>
      <c r="G336" s="4" t="str">
        <f>IF($F336=참조!$C$2,참조!$D$2,IF($F336=참조!$C$8,참조!$D$2,IF(COUNTIF('2026년휴일'!$B:$B,$B336)&gt;0,참조!$D$2,참조!$D$3)))</f>
        <v>勤</v>
      </c>
      <c r="H336" s="31">
        <f>IF($G336=참조!$D$3,참조!$E$3,참조!$E$2)</f>
        <v>1000</v>
      </c>
      <c r="I336" s="31">
        <f>SUMIFS(지출기록_11월!$H$3:$H$314,지출기록_11월!$E$3:$E$314,B336,지출기록_11월!$F$3:$F$314,참조!$F$2)</f>
        <v>0</v>
      </c>
      <c r="J336" s="31">
        <f>SUMIFS(지출기록_11월!$H$3:$H$314,지출기록_11월!$E$3:$E$314,B336,지출기록_11월!$F$3:$F$314,참조!$F$3)</f>
        <v>0</v>
      </c>
      <c r="K336" s="31">
        <f t="shared" si="77"/>
        <v>0</v>
      </c>
      <c r="L336" s="31">
        <f t="shared" ca="1" si="75"/>
        <v>1000</v>
      </c>
      <c r="M336" s="31">
        <f t="shared" si="69"/>
        <v>1000</v>
      </c>
    </row>
    <row r="337" spans="2:14" x14ac:dyDescent="0.3">
      <c r="B337" s="5">
        <f t="shared" si="74"/>
        <v>46353</v>
      </c>
      <c r="C337" s="3">
        <v>11</v>
      </c>
      <c r="D337" s="3">
        <v>27</v>
      </c>
      <c r="E337" s="3">
        <f t="shared" si="73"/>
        <v>6</v>
      </c>
      <c r="F337" s="4" t="str">
        <f>IF($E337=참조!$B$2,참조!$C$2,IF($E337=참조!$B$3,참조!$C$3,IF($E337=참조!$B$4,참조!$C$4,IF($E337=참조!$B$5,참조!$C$5,IF($E337=참조!$B$6,참조!$C$6,IF($E337=참조!$B$7,참조!$C$7,IF($E337=참조!$B$8,참조!$C$8,"")))))))</f>
        <v>金</v>
      </c>
      <c r="G337" s="4" t="str">
        <f>IF($F337=참조!$C$2,참조!$D$2,IF($F337=참조!$C$8,참조!$D$2,IF(COUNTIF('2026년휴일'!$B:$B,$B337)&gt;0,참조!$D$2,참조!$D$3)))</f>
        <v>勤</v>
      </c>
      <c r="H337" s="31">
        <f>IF($G337=참조!$D$3,참조!$E$3,참조!$E$2)</f>
        <v>1000</v>
      </c>
      <c r="I337" s="31">
        <f>SUMIFS(지출기록_11월!$H$3:$H$314,지출기록_11월!$E$3:$E$314,B337,지출기록_11월!$F$3:$F$314,참조!$F$2)</f>
        <v>0</v>
      </c>
      <c r="J337" s="31">
        <f>SUMIFS(지출기록_11월!$H$3:$H$314,지출기록_11월!$E$3:$E$314,B337,지출기록_11월!$F$3:$F$314,참조!$F$3)</f>
        <v>0</v>
      </c>
      <c r="K337" s="31">
        <f t="shared" si="77"/>
        <v>0</v>
      </c>
      <c r="L337" s="31">
        <f t="shared" ca="1" si="75"/>
        <v>1000</v>
      </c>
      <c r="M337" s="31">
        <f t="shared" si="69"/>
        <v>1000</v>
      </c>
    </row>
    <row r="338" spans="2:14" x14ac:dyDescent="0.3">
      <c r="B338" s="5">
        <f t="shared" si="74"/>
        <v>46354</v>
      </c>
      <c r="C338" s="3">
        <v>11</v>
      </c>
      <c r="D338" s="3">
        <v>28</v>
      </c>
      <c r="E338" s="3">
        <f t="shared" si="73"/>
        <v>7</v>
      </c>
      <c r="F338" s="4" t="str">
        <f>IF($E338=참조!$B$2,참조!$C$2,IF($E338=참조!$B$3,참조!$C$3,IF($E338=참조!$B$4,참조!$C$4,IF($E338=참조!$B$5,참조!$C$5,IF($E338=참조!$B$6,참조!$C$6,IF($E338=참조!$B$7,참조!$C$7,IF($E338=참조!$B$8,참조!$C$8,"")))))))</f>
        <v>土</v>
      </c>
      <c r="G338" s="4" t="str">
        <f>IF($F338=참조!$C$2,참조!$D$2,IF($F338=참조!$C$8,참조!$D$2,IF(COUNTIF('2026년휴일'!$B:$B,$B338)&gt;0,참조!$D$2,참조!$D$3)))</f>
        <v>休</v>
      </c>
      <c r="H338" s="31">
        <f>IF($G338=참조!$D$3,참조!$E$3,참조!$E$2)</f>
        <v>5000</v>
      </c>
      <c r="I338" s="31">
        <f>SUMIFS(지출기록_11월!$H$3:$H$314,지출기록_11월!$E$3:$E$314,B338,지출기록_11월!$F$3:$F$314,참조!$F$2)</f>
        <v>0</v>
      </c>
      <c r="J338" s="31">
        <f>SUMIFS(지출기록_11월!$H$3:$H$314,지출기록_11월!$E$3:$E$314,B338,지출기록_11월!$F$3:$F$314,참조!$F$3)</f>
        <v>0</v>
      </c>
      <c r="K338" s="31">
        <f t="shared" ref="K338:K341" si="78">I338-J338</f>
        <v>0</v>
      </c>
      <c r="L338" s="31">
        <f t="shared" ca="1" si="75"/>
        <v>5000</v>
      </c>
      <c r="M338" s="31">
        <f t="shared" si="69"/>
        <v>5000</v>
      </c>
    </row>
    <row r="339" spans="2:14" x14ac:dyDescent="0.3">
      <c r="B339" s="5">
        <f t="shared" si="74"/>
        <v>46355</v>
      </c>
      <c r="C339" s="3">
        <v>11</v>
      </c>
      <c r="D339" s="3">
        <v>29</v>
      </c>
      <c r="E339" s="3">
        <f t="shared" si="73"/>
        <v>1</v>
      </c>
      <c r="F339" s="4" t="str">
        <f>IF($E339=참조!$B$2,참조!$C$2,IF($E339=참조!$B$3,참조!$C$3,IF($E339=참조!$B$4,참조!$C$4,IF($E339=참조!$B$5,참조!$C$5,IF($E339=참조!$B$6,참조!$C$6,IF($E339=참조!$B$7,참조!$C$7,IF($E339=참조!$B$8,참조!$C$8,"")))))))</f>
        <v>日</v>
      </c>
      <c r="G339" s="4" t="str">
        <f>IF($F339=참조!$C$2,참조!$D$2,IF($F339=참조!$C$8,참조!$D$2,IF(COUNTIF('2026년휴일'!$B:$B,$B339)&gt;0,참조!$D$2,참조!$D$3)))</f>
        <v>休</v>
      </c>
      <c r="H339" s="31">
        <f>IF($G339=참조!$D$3,참조!$E$3,참조!$E$2)</f>
        <v>5000</v>
      </c>
      <c r="I339" s="31">
        <f>SUMIFS(지출기록_11월!$H$3:$H$314,지출기록_11월!$E$3:$E$314,B339,지출기록_11월!$F$3:$F$314,참조!$F$2)</f>
        <v>0</v>
      </c>
      <c r="J339" s="31">
        <f>SUMIFS(지출기록_11월!$H$3:$H$314,지출기록_11월!$E$3:$E$314,B339,지출기록_11월!$F$3:$F$314,참조!$F$3)</f>
        <v>0</v>
      </c>
      <c r="K339" s="31">
        <f t="shared" si="78"/>
        <v>0</v>
      </c>
      <c r="L339" s="31">
        <f t="shared" ca="1" si="75"/>
        <v>5000</v>
      </c>
      <c r="M339" s="31">
        <f t="shared" si="69"/>
        <v>5000</v>
      </c>
    </row>
    <row r="340" spans="2:14" x14ac:dyDescent="0.3">
      <c r="B340" s="5">
        <f t="shared" si="74"/>
        <v>46356</v>
      </c>
      <c r="C340" s="3">
        <v>11</v>
      </c>
      <c r="D340" s="3">
        <v>30</v>
      </c>
      <c r="E340" s="3">
        <f t="shared" si="73"/>
        <v>2</v>
      </c>
      <c r="F340" s="4" t="str">
        <f>IF($E340=참조!$B$2,참조!$C$2,IF($E340=참조!$B$3,참조!$C$3,IF($E340=참조!$B$4,참조!$C$4,IF($E340=참조!$B$5,참조!$C$5,IF($E340=참조!$B$6,참조!$C$6,IF($E340=참조!$B$7,참조!$C$7,IF($E340=참조!$B$8,참조!$C$8,"")))))))</f>
        <v>月</v>
      </c>
      <c r="G340" s="4" t="str">
        <f>IF($F340=참조!$C$2,참조!$D$2,IF($F340=참조!$C$8,참조!$D$2,IF(COUNTIF('2026년휴일'!$B:$B,$B340)&gt;0,참조!$D$2,참조!$D$3)))</f>
        <v>勤</v>
      </c>
      <c r="H340" s="31">
        <f>IF($G340=참조!$D$3,참조!$E$3,참조!$E$2)</f>
        <v>1000</v>
      </c>
      <c r="I340" s="31">
        <f>SUMIFS(지출기록_11월!$H$3:$H$314,지출기록_11월!$E$3:$E$314,B340,지출기록_11월!$F$3:$F$314,참조!$F$2)</f>
        <v>0</v>
      </c>
      <c r="J340" s="31">
        <f>SUMIFS(지출기록_11월!$H$3:$H$314,지출기록_11월!$E$3:$E$314,B340,지출기록_11월!$F$3:$F$314,참조!$F$3)</f>
        <v>0</v>
      </c>
      <c r="K340" s="31">
        <f t="shared" si="78"/>
        <v>0</v>
      </c>
      <c r="L340" s="31">
        <f t="shared" ca="1" si="75"/>
        <v>1000</v>
      </c>
      <c r="M340" s="31">
        <f t="shared" si="69"/>
        <v>1000</v>
      </c>
      <c r="N340" s="3">
        <f>SUM(K334:K340)</f>
        <v>0</v>
      </c>
    </row>
    <row r="341" spans="2:14" x14ac:dyDescent="0.3">
      <c r="B341" s="5">
        <f t="shared" si="74"/>
        <v>46357</v>
      </c>
      <c r="C341" s="3">
        <v>12</v>
      </c>
      <c r="D341" s="3">
        <v>1</v>
      </c>
      <c r="E341" s="3">
        <f t="shared" si="73"/>
        <v>3</v>
      </c>
      <c r="F341" s="4" t="str">
        <f>IF($E341=참조!$B$2,참조!$C$2,IF($E341=참조!$B$3,참조!$C$3,IF($E341=참조!$B$4,참조!$C$4,IF($E341=참조!$B$5,참조!$C$5,IF($E341=참조!$B$6,참조!$C$6,IF($E341=참조!$B$7,참조!$C$7,IF($E341=참조!$B$8,참조!$C$8,"")))))))</f>
        <v>火</v>
      </c>
      <c r="G341" s="4" t="str">
        <f>IF($F341=참조!$C$2,참조!$D$2,IF($F341=참조!$C$8,참조!$D$2,IF(COUNTIF('2026년휴일'!$B:$B,$B341)&gt;0,참조!$D$2,참조!$D$3)))</f>
        <v>勤</v>
      </c>
      <c r="H341" s="31">
        <f>IF($G341=참조!$D$3,참조!$E$3,참조!$E$2)</f>
        <v>1000</v>
      </c>
      <c r="I341" s="31">
        <f>SUMIFS(지출기록_12월!$H$3:$H$314,지출기록_12월!$E$3:$E$314,B341,지출기록_12월!$F$3:$F$314,참조!$F$2)</f>
        <v>0</v>
      </c>
      <c r="J341" s="31">
        <f>SUMIFS(지출기록_12월!$H$3:$H$314,지출기록_12월!$E$3:$E$314,B341,지출기록_12월!$F$3:$F$314,참조!$F$3)</f>
        <v>0</v>
      </c>
      <c r="K341" s="31">
        <f t="shared" si="78"/>
        <v>0</v>
      </c>
      <c r="L341" s="31">
        <f t="shared" ca="1" si="75"/>
        <v>1000</v>
      </c>
      <c r="M341" s="31">
        <f t="shared" si="69"/>
        <v>1000</v>
      </c>
    </row>
    <row r="342" spans="2:14" x14ac:dyDescent="0.3">
      <c r="B342" s="5">
        <f t="shared" si="74"/>
        <v>46358</v>
      </c>
      <c r="C342" s="3">
        <v>12</v>
      </c>
      <c r="D342" s="3">
        <v>2</v>
      </c>
      <c r="E342" s="3">
        <f t="shared" si="73"/>
        <v>4</v>
      </c>
      <c r="F342" s="4" t="str">
        <f>IF($E342=참조!$B$2,참조!$C$2,IF($E342=참조!$B$3,참조!$C$3,IF($E342=참조!$B$4,참조!$C$4,IF($E342=참조!$B$5,참조!$C$5,IF($E342=참조!$B$6,참조!$C$6,IF($E342=참조!$B$7,참조!$C$7,IF($E342=참조!$B$8,참조!$C$8,"")))))))</f>
        <v>水</v>
      </c>
      <c r="G342" s="4" t="str">
        <f>IF($F342=참조!$C$2,참조!$D$2,IF($F342=참조!$C$8,참조!$D$2,IF(COUNTIF('2026년휴일'!$B:$B,$B342)&gt;0,참조!$D$2,참조!$D$3)))</f>
        <v>勤</v>
      </c>
      <c r="H342" s="31">
        <f>IF($G342=참조!$D$3,참조!$E$3,참조!$E$2)</f>
        <v>1000</v>
      </c>
      <c r="I342" s="31">
        <f>SUMIFS(지출기록_12월!$H$3:$H$314,지출기록_12월!$E$3:$E$314,B342,지출기록_12월!$F$3:$F$314,참조!$F$2)</f>
        <v>0</v>
      </c>
      <c r="J342" s="31">
        <f>SUMIFS(지출기록_12월!$H$3:$H$314,지출기록_12월!$E$3:$E$314,B342,지출기록_12월!$F$3:$F$314,참조!$F$3)</f>
        <v>0</v>
      </c>
      <c r="K342" s="31">
        <f t="shared" ref="K342:K345" si="79">I342-J342</f>
        <v>0</v>
      </c>
      <c r="L342" s="31">
        <f t="shared" ca="1" si="75"/>
        <v>1000</v>
      </c>
      <c r="M342" s="31">
        <f t="shared" si="69"/>
        <v>1000</v>
      </c>
    </row>
    <row r="343" spans="2:14" x14ac:dyDescent="0.3">
      <c r="B343" s="5">
        <f t="shared" si="74"/>
        <v>46359</v>
      </c>
      <c r="C343" s="3">
        <v>12</v>
      </c>
      <c r="D343" s="3">
        <v>3</v>
      </c>
      <c r="E343" s="3">
        <f t="shared" si="73"/>
        <v>5</v>
      </c>
      <c r="F343" s="4" t="str">
        <f>IF($E343=참조!$B$2,참조!$C$2,IF($E343=참조!$B$3,참조!$C$3,IF($E343=참조!$B$4,참조!$C$4,IF($E343=참조!$B$5,참조!$C$5,IF($E343=참조!$B$6,참조!$C$6,IF($E343=참조!$B$7,참조!$C$7,IF($E343=참조!$B$8,참조!$C$8,"")))))))</f>
        <v>木</v>
      </c>
      <c r="G343" s="4" t="str">
        <f>IF($F343=참조!$C$2,참조!$D$2,IF($F343=참조!$C$8,참조!$D$2,IF(COUNTIF('2026년휴일'!$B:$B,$B343)&gt;0,참조!$D$2,참조!$D$3)))</f>
        <v>勤</v>
      </c>
      <c r="H343" s="31">
        <f>IF($G343=참조!$D$3,참조!$E$3,참조!$E$2)</f>
        <v>1000</v>
      </c>
      <c r="I343" s="31">
        <f>SUMIFS(지출기록_12월!$H$3:$H$314,지출기록_12월!$E$3:$E$314,B343,지출기록_12월!$F$3:$F$314,참조!$F$2)</f>
        <v>0</v>
      </c>
      <c r="J343" s="31">
        <f>SUMIFS(지출기록_12월!$H$3:$H$314,지출기록_12월!$E$3:$E$314,B343,지출기록_12월!$F$3:$F$314,참조!$F$3)</f>
        <v>0</v>
      </c>
      <c r="K343" s="31">
        <f t="shared" si="79"/>
        <v>0</v>
      </c>
      <c r="L343" s="31">
        <f t="shared" ca="1" si="75"/>
        <v>1000</v>
      </c>
      <c r="M343" s="31">
        <f t="shared" si="69"/>
        <v>1000</v>
      </c>
    </row>
    <row r="344" spans="2:14" x14ac:dyDescent="0.3">
      <c r="B344" s="5">
        <f t="shared" si="74"/>
        <v>46360</v>
      </c>
      <c r="C344" s="3">
        <v>12</v>
      </c>
      <c r="D344" s="3">
        <v>4</v>
      </c>
      <c r="E344" s="3">
        <f t="shared" si="73"/>
        <v>6</v>
      </c>
      <c r="F344" s="4" t="str">
        <f>IF($E344=참조!$B$2,참조!$C$2,IF($E344=참조!$B$3,참조!$C$3,IF($E344=참조!$B$4,참조!$C$4,IF($E344=참조!$B$5,참조!$C$5,IF($E344=참조!$B$6,참조!$C$6,IF($E344=참조!$B$7,참조!$C$7,IF($E344=참조!$B$8,참조!$C$8,"")))))))</f>
        <v>金</v>
      </c>
      <c r="G344" s="4" t="str">
        <f>IF($F344=참조!$C$2,참조!$D$2,IF($F344=참조!$C$8,참조!$D$2,IF(COUNTIF('2026년휴일'!$B:$B,$B344)&gt;0,참조!$D$2,참조!$D$3)))</f>
        <v>勤</v>
      </c>
      <c r="H344" s="31">
        <f>IF($G344=참조!$D$3,참조!$E$3,참조!$E$2)</f>
        <v>1000</v>
      </c>
      <c r="I344" s="31">
        <f>SUMIFS(지출기록_12월!$H$3:$H$314,지출기록_12월!$E$3:$E$314,B344,지출기록_12월!$F$3:$F$314,참조!$F$2)</f>
        <v>0</v>
      </c>
      <c r="J344" s="31">
        <f>SUMIFS(지출기록_12월!$H$3:$H$314,지출기록_12월!$E$3:$E$314,B344,지출기록_12월!$F$3:$F$314,참조!$F$3)</f>
        <v>0</v>
      </c>
      <c r="K344" s="31">
        <f t="shared" si="79"/>
        <v>0</v>
      </c>
      <c r="L344" s="31">
        <f t="shared" ca="1" si="75"/>
        <v>1000</v>
      </c>
      <c r="M344" s="31">
        <f t="shared" si="69"/>
        <v>1000</v>
      </c>
    </row>
    <row r="345" spans="2:14" x14ac:dyDescent="0.3">
      <c r="B345" s="5">
        <f t="shared" si="74"/>
        <v>46361</v>
      </c>
      <c r="C345" s="3">
        <v>12</v>
      </c>
      <c r="D345" s="3">
        <v>5</v>
      </c>
      <c r="E345" s="3">
        <f t="shared" si="73"/>
        <v>7</v>
      </c>
      <c r="F345" s="4" t="str">
        <f>IF($E345=참조!$B$2,참조!$C$2,IF($E345=참조!$B$3,참조!$C$3,IF($E345=참조!$B$4,참조!$C$4,IF($E345=참조!$B$5,참조!$C$5,IF($E345=참조!$B$6,참조!$C$6,IF($E345=참조!$B$7,참조!$C$7,IF($E345=참조!$B$8,참조!$C$8,"")))))))</f>
        <v>土</v>
      </c>
      <c r="G345" s="4" t="str">
        <f>IF($F345=참조!$C$2,참조!$D$2,IF($F345=참조!$C$8,참조!$D$2,IF(COUNTIF('2026년휴일'!$B:$B,$B345)&gt;0,참조!$D$2,참조!$D$3)))</f>
        <v>休</v>
      </c>
      <c r="H345" s="31">
        <f>IF($G345=참조!$D$3,참조!$E$3,참조!$E$2)</f>
        <v>5000</v>
      </c>
      <c r="I345" s="31">
        <f>SUMIFS(지출기록_12월!$H$3:$H$314,지출기록_12월!$E$3:$E$314,B345,지출기록_12월!$F$3:$F$314,참조!$F$2)</f>
        <v>0</v>
      </c>
      <c r="J345" s="31">
        <f>SUMIFS(지출기록_12월!$H$3:$H$314,지출기록_12월!$E$3:$E$314,B345,지출기록_12월!$F$3:$F$314,참조!$F$3)</f>
        <v>0</v>
      </c>
      <c r="K345" s="31">
        <f t="shared" si="79"/>
        <v>0</v>
      </c>
      <c r="L345" s="31">
        <f t="shared" ca="1" si="75"/>
        <v>5000</v>
      </c>
      <c r="M345" s="31">
        <f t="shared" si="69"/>
        <v>5000</v>
      </c>
    </row>
    <row r="346" spans="2:14" x14ac:dyDescent="0.3">
      <c r="B346" s="5">
        <f t="shared" si="74"/>
        <v>46362</v>
      </c>
      <c r="C346" s="3">
        <v>12</v>
      </c>
      <c r="D346" s="3">
        <v>6</v>
      </c>
      <c r="E346" s="3">
        <f t="shared" si="73"/>
        <v>1</v>
      </c>
      <c r="F346" s="4" t="str">
        <f>IF($E346=참조!$B$2,참조!$C$2,IF($E346=참조!$B$3,참조!$C$3,IF($E346=참조!$B$4,참조!$C$4,IF($E346=참조!$B$5,참조!$C$5,IF($E346=참조!$B$6,참조!$C$6,IF($E346=참조!$B$7,참조!$C$7,IF($E346=참조!$B$8,참조!$C$8,"")))))))</f>
        <v>日</v>
      </c>
      <c r="G346" s="4" t="str">
        <f>IF($F346=참조!$C$2,참조!$D$2,IF($F346=참조!$C$8,참조!$D$2,IF(COUNTIF('2026년휴일'!$B:$B,$B346)&gt;0,참조!$D$2,참조!$D$3)))</f>
        <v>休</v>
      </c>
      <c r="H346" s="31">
        <f>IF($G346=참조!$D$3,참조!$E$3,참조!$E$2)</f>
        <v>5000</v>
      </c>
      <c r="I346" s="31">
        <f>SUMIFS(지출기록_12월!$H$3:$H$314,지출기록_12월!$E$3:$E$314,B346,지출기록_12월!$F$3:$F$314,참조!$F$2)</f>
        <v>0</v>
      </c>
      <c r="J346" s="31">
        <f>SUMIFS(지출기록_12월!$H$3:$H$314,지출기록_12월!$E$3:$E$314,B346,지출기록_12월!$F$3:$F$314,참조!$F$3)</f>
        <v>0</v>
      </c>
      <c r="K346" s="31">
        <f t="shared" ref="K346:K349" si="80">I346-J346</f>
        <v>0</v>
      </c>
      <c r="L346" s="31">
        <f t="shared" ca="1" si="75"/>
        <v>5000</v>
      </c>
      <c r="M346" s="31">
        <f t="shared" si="69"/>
        <v>5000</v>
      </c>
    </row>
    <row r="347" spans="2:14" x14ac:dyDescent="0.3">
      <c r="B347" s="5">
        <f t="shared" si="74"/>
        <v>46363</v>
      </c>
      <c r="C347" s="3">
        <v>12</v>
      </c>
      <c r="D347" s="3">
        <v>7</v>
      </c>
      <c r="E347" s="3">
        <f t="shared" si="73"/>
        <v>2</v>
      </c>
      <c r="F347" s="4" t="str">
        <f>IF($E347=참조!$B$2,참조!$C$2,IF($E347=참조!$B$3,참조!$C$3,IF($E347=참조!$B$4,참조!$C$4,IF($E347=참조!$B$5,참조!$C$5,IF($E347=참조!$B$6,참조!$C$6,IF($E347=참조!$B$7,참조!$C$7,IF($E347=참조!$B$8,참조!$C$8,"")))))))</f>
        <v>月</v>
      </c>
      <c r="G347" s="4" t="str">
        <f>IF($F347=참조!$C$2,참조!$D$2,IF($F347=참조!$C$8,참조!$D$2,IF(COUNTIF('2026년휴일'!$B:$B,$B347)&gt;0,참조!$D$2,참조!$D$3)))</f>
        <v>勤</v>
      </c>
      <c r="H347" s="31">
        <f>IF($G347=참조!$D$3,참조!$E$3,참조!$E$2)</f>
        <v>1000</v>
      </c>
      <c r="I347" s="31">
        <f>SUMIFS(지출기록_12월!$H$3:$H$314,지출기록_12월!$E$3:$E$314,B347,지출기록_12월!$F$3:$F$314,참조!$F$2)</f>
        <v>0</v>
      </c>
      <c r="J347" s="31">
        <f>SUMIFS(지출기록_12월!$H$3:$H$314,지출기록_12월!$E$3:$E$314,B347,지출기록_12월!$F$3:$F$314,참조!$F$3)</f>
        <v>0</v>
      </c>
      <c r="K347" s="31">
        <f t="shared" si="80"/>
        <v>0</v>
      </c>
      <c r="L347" s="31">
        <f t="shared" ca="1" si="75"/>
        <v>1000</v>
      </c>
      <c r="M347" s="31">
        <f t="shared" si="69"/>
        <v>1000</v>
      </c>
      <c r="N347" s="3">
        <f>SUM(K341:K347)</f>
        <v>0</v>
      </c>
    </row>
    <row r="348" spans="2:14" x14ac:dyDescent="0.3">
      <c r="B348" s="5">
        <f t="shared" si="74"/>
        <v>46364</v>
      </c>
      <c r="C348" s="3">
        <v>12</v>
      </c>
      <c r="D348" s="3">
        <v>8</v>
      </c>
      <c r="E348" s="3">
        <f t="shared" si="73"/>
        <v>3</v>
      </c>
      <c r="F348" s="4" t="str">
        <f>IF($E348=참조!$B$2,참조!$C$2,IF($E348=참조!$B$3,참조!$C$3,IF($E348=참조!$B$4,참조!$C$4,IF($E348=참조!$B$5,참조!$C$5,IF($E348=참조!$B$6,참조!$C$6,IF($E348=참조!$B$7,참조!$C$7,IF($E348=참조!$B$8,참조!$C$8,"")))))))</f>
        <v>火</v>
      </c>
      <c r="G348" s="4" t="str">
        <f>IF($F348=참조!$C$2,참조!$D$2,IF($F348=참조!$C$8,참조!$D$2,IF(COUNTIF('2026년휴일'!$B:$B,$B348)&gt;0,참조!$D$2,참조!$D$3)))</f>
        <v>勤</v>
      </c>
      <c r="H348" s="31">
        <f>IF($G348=참조!$D$3,참조!$E$3,참조!$E$2)</f>
        <v>1000</v>
      </c>
      <c r="I348" s="31">
        <f>SUMIFS(지출기록_12월!$H$3:$H$314,지출기록_12월!$E$3:$E$314,B348,지출기록_12월!$F$3:$F$314,참조!$F$2)</f>
        <v>0</v>
      </c>
      <c r="J348" s="31">
        <f>SUMIFS(지출기록_12월!$H$3:$H$314,지출기록_12월!$E$3:$E$314,B348,지출기록_12월!$F$3:$F$314,참조!$F$3)</f>
        <v>0</v>
      </c>
      <c r="K348" s="31">
        <f t="shared" si="80"/>
        <v>0</v>
      </c>
      <c r="L348" s="31">
        <f t="shared" ca="1" si="75"/>
        <v>1000</v>
      </c>
      <c r="M348" s="31">
        <f t="shared" si="69"/>
        <v>1000</v>
      </c>
    </row>
    <row r="349" spans="2:14" x14ac:dyDescent="0.3">
      <c r="B349" s="5">
        <f t="shared" si="74"/>
        <v>46365</v>
      </c>
      <c r="C349" s="3">
        <v>12</v>
      </c>
      <c r="D349" s="3">
        <v>9</v>
      </c>
      <c r="E349" s="3">
        <f t="shared" si="73"/>
        <v>4</v>
      </c>
      <c r="F349" s="4" t="str">
        <f>IF($E349=참조!$B$2,참조!$C$2,IF($E349=참조!$B$3,참조!$C$3,IF($E349=참조!$B$4,참조!$C$4,IF($E349=참조!$B$5,참조!$C$5,IF($E349=참조!$B$6,참조!$C$6,IF($E349=참조!$B$7,참조!$C$7,IF($E349=참조!$B$8,참조!$C$8,"")))))))</f>
        <v>水</v>
      </c>
      <c r="G349" s="4" t="str">
        <f>IF($F349=참조!$C$2,참조!$D$2,IF($F349=참조!$C$8,참조!$D$2,IF(COUNTIF('2026년휴일'!$B:$B,$B349)&gt;0,참조!$D$2,참조!$D$3)))</f>
        <v>勤</v>
      </c>
      <c r="H349" s="31">
        <f>IF($G349=참조!$D$3,참조!$E$3,참조!$E$2)</f>
        <v>1000</v>
      </c>
      <c r="I349" s="31">
        <f>SUMIFS(지출기록_12월!$H$3:$H$314,지출기록_12월!$E$3:$E$314,B349,지출기록_12월!$F$3:$F$314,참조!$F$2)</f>
        <v>0</v>
      </c>
      <c r="J349" s="31">
        <f>SUMIFS(지출기록_12월!$H$3:$H$314,지출기록_12월!$E$3:$E$314,B349,지출기록_12월!$F$3:$F$314,참조!$F$3)</f>
        <v>0</v>
      </c>
      <c r="K349" s="31">
        <f t="shared" si="80"/>
        <v>0</v>
      </c>
      <c r="L349" s="31">
        <f t="shared" ca="1" si="75"/>
        <v>1000</v>
      </c>
      <c r="M349" s="31">
        <f t="shared" si="69"/>
        <v>1000</v>
      </c>
    </row>
    <row r="350" spans="2:14" x14ac:dyDescent="0.3">
      <c r="B350" s="5">
        <f t="shared" si="74"/>
        <v>46366</v>
      </c>
      <c r="C350" s="3">
        <v>12</v>
      </c>
      <c r="D350" s="3">
        <v>10</v>
      </c>
      <c r="E350" s="3">
        <f t="shared" si="73"/>
        <v>5</v>
      </c>
      <c r="F350" s="4" t="str">
        <f>IF($E350=참조!$B$2,참조!$C$2,IF($E350=참조!$B$3,참조!$C$3,IF($E350=참조!$B$4,참조!$C$4,IF($E350=참조!$B$5,참조!$C$5,IF($E350=참조!$B$6,참조!$C$6,IF($E350=참조!$B$7,참조!$C$7,IF($E350=참조!$B$8,참조!$C$8,"")))))))</f>
        <v>木</v>
      </c>
      <c r="G350" s="4" t="str">
        <f>IF($F350=참조!$C$2,참조!$D$2,IF($F350=참조!$C$8,참조!$D$2,IF(COUNTIF('2026년휴일'!$B:$B,$B350)&gt;0,참조!$D$2,참조!$D$3)))</f>
        <v>勤</v>
      </c>
      <c r="H350" s="31">
        <f>IF($G350=참조!$D$3,참조!$E$3,참조!$E$2)</f>
        <v>1000</v>
      </c>
      <c r="I350" s="31">
        <f>SUMIFS(지출기록_12월!$H$3:$H$314,지출기록_12월!$E$3:$E$314,B350,지출기록_12월!$F$3:$F$314,참조!$F$2)</f>
        <v>0</v>
      </c>
      <c r="J350" s="31">
        <f>SUMIFS(지출기록_12월!$H$3:$H$314,지출기록_12월!$E$3:$E$314,B350,지출기록_12월!$F$3:$F$314,참조!$F$3)</f>
        <v>0</v>
      </c>
      <c r="K350" s="31">
        <f t="shared" ref="K350:K351" si="81">I350-J350</f>
        <v>0</v>
      </c>
      <c r="L350" s="31">
        <f t="shared" ca="1" si="75"/>
        <v>1000</v>
      </c>
      <c r="M350" s="31">
        <f t="shared" si="69"/>
        <v>1000</v>
      </c>
    </row>
    <row r="351" spans="2:14" x14ac:dyDescent="0.3">
      <c r="B351" s="5">
        <f t="shared" si="74"/>
        <v>46367</v>
      </c>
      <c r="C351" s="3">
        <v>12</v>
      </c>
      <c r="D351" s="3">
        <v>11</v>
      </c>
      <c r="E351" s="3">
        <f t="shared" si="73"/>
        <v>6</v>
      </c>
      <c r="F351" s="4" t="str">
        <f>IF($E351=참조!$B$2,참조!$C$2,IF($E351=참조!$B$3,참조!$C$3,IF($E351=참조!$B$4,참조!$C$4,IF($E351=참조!$B$5,참조!$C$5,IF($E351=참조!$B$6,참조!$C$6,IF($E351=참조!$B$7,참조!$C$7,IF($E351=참조!$B$8,참조!$C$8,"")))))))</f>
        <v>金</v>
      </c>
      <c r="G351" s="4" t="str">
        <f>IF($F351=참조!$C$2,참조!$D$2,IF($F351=참조!$C$8,참조!$D$2,IF(COUNTIF('2026년휴일'!$B:$B,$B351)&gt;0,참조!$D$2,참조!$D$3)))</f>
        <v>勤</v>
      </c>
      <c r="H351" s="31">
        <f>IF($G351=참조!$D$3,참조!$E$3,참조!$E$2)</f>
        <v>1000</v>
      </c>
      <c r="I351" s="31">
        <f>SUMIFS(지출기록_12월!$H$3:$H$314,지출기록_12월!$E$3:$E$314,B351,지출기록_12월!$F$3:$F$314,참조!$F$2)</f>
        <v>0</v>
      </c>
      <c r="J351" s="31">
        <f>SUMIFS(지출기록_12월!$H$3:$H$314,지출기록_12월!$E$3:$E$314,B351,지출기록_12월!$F$3:$F$314,참조!$F$3)</f>
        <v>0</v>
      </c>
      <c r="K351" s="31">
        <f t="shared" si="81"/>
        <v>0</v>
      </c>
      <c r="L351" s="31">
        <f t="shared" ca="1" si="75"/>
        <v>1000</v>
      </c>
      <c r="M351" s="31">
        <f t="shared" si="69"/>
        <v>1000</v>
      </c>
    </row>
    <row r="352" spans="2:14" x14ac:dyDescent="0.3">
      <c r="B352" s="5">
        <f t="shared" si="74"/>
        <v>46368</v>
      </c>
      <c r="C352" s="3">
        <v>12</v>
      </c>
      <c r="D352" s="3">
        <v>12</v>
      </c>
      <c r="E352" s="3">
        <f t="shared" si="73"/>
        <v>7</v>
      </c>
      <c r="F352" s="4" t="str">
        <f>IF($E352=참조!$B$2,참조!$C$2,IF($E352=참조!$B$3,참조!$C$3,IF($E352=참조!$B$4,참조!$C$4,IF($E352=참조!$B$5,참조!$C$5,IF($E352=참조!$B$6,참조!$C$6,IF($E352=참조!$B$7,참조!$C$7,IF($E352=참조!$B$8,참조!$C$8,"")))))))</f>
        <v>土</v>
      </c>
      <c r="G352" s="4" t="str">
        <f>IF($F352=참조!$C$2,참조!$D$2,IF($F352=참조!$C$8,참조!$D$2,IF(COUNTIF('2026년휴일'!$B:$B,$B352)&gt;0,참조!$D$2,참조!$D$3)))</f>
        <v>休</v>
      </c>
      <c r="H352" s="31">
        <f>IF($G352=참조!$D$3,참조!$E$3,참조!$E$2)</f>
        <v>5000</v>
      </c>
      <c r="I352" s="31">
        <f>SUMIFS(지출기록_12월!$H$3:$H$314,지출기록_12월!$E$3:$E$314,B352,지출기록_12월!$F$3:$F$314,참조!$F$2)</f>
        <v>0</v>
      </c>
      <c r="J352" s="31">
        <f>SUMIFS(지출기록_12월!$H$3:$H$314,지출기록_12월!$E$3:$E$314,B352,지출기록_12월!$F$3:$F$314,참조!$F$3)</f>
        <v>0</v>
      </c>
      <c r="K352" s="31">
        <f t="shared" ref="K352:K354" si="82">I352-J352</f>
        <v>0</v>
      </c>
      <c r="L352" s="31">
        <f t="shared" ca="1" si="75"/>
        <v>5000</v>
      </c>
      <c r="M352" s="31">
        <f t="shared" si="69"/>
        <v>5000</v>
      </c>
    </row>
    <row r="353" spans="2:14" x14ac:dyDescent="0.3">
      <c r="B353" s="5">
        <f t="shared" si="74"/>
        <v>46369</v>
      </c>
      <c r="C353" s="3">
        <v>12</v>
      </c>
      <c r="D353" s="3">
        <v>13</v>
      </c>
      <c r="E353" s="3">
        <f t="shared" si="73"/>
        <v>1</v>
      </c>
      <c r="F353" s="4" t="str">
        <f>IF($E353=참조!$B$2,참조!$C$2,IF($E353=참조!$B$3,참조!$C$3,IF($E353=참조!$B$4,참조!$C$4,IF($E353=참조!$B$5,참조!$C$5,IF($E353=참조!$B$6,참조!$C$6,IF($E353=참조!$B$7,참조!$C$7,IF($E353=참조!$B$8,참조!$C$8,"")))))))</f>
        <v>日</v>
      </c>
      <c r="G353" s="4" t="str">
        <f>IF($F353=참조!$C$2,참조!$D$2,IF($F353=참조!$C$8,참조!$D$2,IF(COUNTIF('2026년휴일'!$B:$B,$B353)&gt;0,참조!$D$2,참조!$D$3)))</f>
        <v>休</v>
      </c>
      <c r="H353" s="31">
        <f>IF($G353=참조!$D$3,참조!$E$3,참조!$E$2)</f>
        <v>5000</v>
      </c>
      <c r="I353" s="31">
        <f>SUMIFS(지출기록_12월!$H$3:$H$314,지출기록_12월!$E$3:$E$314,B353,지출기록_12월!$F$3:$F$314,참조!$F$2)</f>
        <v>0</v>
      </c>
      <c r="J353" s="31">
        <f>SUMIFS(지출기록_12월!$H$3:$H$314,지출기록_12월!$E$3:$E$314,B353,지출기록_12월!$F$3:$F$314,참조!$F$3)</f>
        <v>0</v>
      </c>
      <c r="K353" s="31">
        <f t="shared" si="82"/>
        <v>0</v>
      </c>
      <c r="L353" s="31">
        <f t="shared" ca="1" si="75"/>
        <v>5000</v>
      </c>
      <c r="M353" s="31">
        <f t="shared" si="69"/>
        <v>5000</v>
      </c>
    </row>
    <row r="354" spans="2:14" x14ac:dyDescent="0.3">
      <c r="B354" s="5">
        <f t="shared" si="74"/>
        <v>46370</v>
      </c>
      <c r="C354" s="3">
        <v>12</v>
      </c>
      <c r="D354" s="3">
        <v>14</v>
      </c>
      <c r="E354" s="3">
        <f t="shared" si="73"/>
        <v>2</v>
      </c>
      <c r="F354" s="4" t="str">
        <f>IF($E354=참조!$B$2,참조!$C$2,IF($E354=참조!$B$3,참조!$C$3,IF($E354=참조!$B$4,참조!$C$4,IF($E354=참조!$B$5,참조!$C$5,IF($E354=참조!$B$6,참조!$C$6,IF($E354=참조!$B$7,참조!$C$7,IF($E354=참조!$B$8,참조!$C$8,"")))))))</f>
        <v>月</v>
      </c>
      <c r="G354" s="4" t="str">
        <f>IF($F354=참조!$C$2,참조!$D$2,IF($F354=참조!$C$8,참조!$D$2,IF(COUNTIF('2026년휴일'!$B:$B,$B354)&gt;0,참조!$D$2,참조!$D$3)))</f>
        <v>勤</v>
      </c>
      <c r="H354" s="31">
        <f>IF($G354=참조!$D$3,참조!$E$3,참조!$E$2)</f>
        <v>1000</v>
      </c>
      <c r="I354" s="31">
        <f>SUMIFS(지출기록_12월!$H$3:$H$314,지출기록_12월!$E$3:$E$314,B354,지출기록_12월!$F$3:$F$314,참조!$F$2)</f>
        <v>0</v>
      </c>
      <c r="J354" s="31">
        <f>SUMIFS(지출기록_12월!$H$3:$H$314,지출기록_12월!$E$3:$E$314,B354,지출기록_12월!$F$3:$F$314,참조!$F$3)</f>
        <v>0</v>
      </c>
      <c r="K354" s="31">
        <f t="shared" si="82"/>
        <v>0</v>
      </c>
      <c r="L354" s="31">
        <f t="shared" ca="1" si="75"/>
        <v>1000</v>
      </c>
      <c r="M354" s="31">
        <f t="shared" si="69"/>
        <v>1000</v>
      </c>
      <c r="N354" s="3">
        <f>SUM(K348:K354)</f>
        <v>0</v>
      </c>
    </row>
    <row r="355" spans="2:14" x14ac:dyDescent="0.3">
      <c r="B355" s="5">
        <f t="shared" si="74"/>
        <v>46371</v>
      </c>
      <c r="C355" s="3">
        <v>12</v>
      </c>
      <c r="D355" s="3">
        <v>15</v>
      </c>
      <c r="E355" s="3">
        <f t="shared" si="73"/>
        <v>3</v>
      </c>
      <c r="F355" s="4" t="str">
        <f>IF($E355=참조!$B$2,참조!$C$2,IF($E355=참조!$B$3,참조!$C$3,IF($E355=참조!$B$4,참조!$C$4,IF($E355=참조!$B$5,참조!$C$5,IF($E355=참조!$B$6,참조!$C$6,IF($E355=참조!$B$7,참조!$C$7,IF($E355=참조!$B$8,참조!$C$8,"")))))))</f>
        <v>火</v>
      </c>
      <c r="G355" s="4" t="str">
        <f>IF($F355=참조!$C$2,참조!$D$2,IF($F355=참조!$C$8,참조!$D$2,IF(COUNTIF('2026년휴일'!$B:$B,$B355)&gt;0,참조!$D$2,참조!$D$3)))</f>
        <v>勤</v>
      </c>
      <c r="H355" s="31">
        <f>IF($G355=참조!$D$3,참조!$E$3,참조!$E$2)</f>
        <v>1000</v>
      </c>
      <c r="I355" s="31">
        <f>SUMIFS(지출기록_12월!$H$3:$H$314,지출기록_12월!$E$3:$E$314,B355,지출기록_12월!$F$3:$F$314,참조!$F$2)</f>
        <v>0</v>
      </c>
      <c r="J355" s="31">
        <f>SUMIFS(지출기록_12월!$H$3:$H$314,지출기록_12월!$E$3:$E$314,B355,지출기록_12월!$F$3:$F$314,참조!$F$3)</f>
        <v>0</v>
      </c>
      <c r="K355" s="31">
        <f t="shared" ref="K355" si="83">I355-J355</f>
        <v>0</v>
      </c>
      <c r="L355" s="31">
        <f t="shared" ca="1" si="75"/>
        <v>1000</v>
      </c>
      <c r="M355" s="31">
        <f t="shared" si="69"/>
        <v>1000</v>
      </c>
    </row>
    <row r="356" spans="2:14" x14ac:dyDescent="0.3">
      <c r="B356" s="5">
        <f t="shared" si="74"/>
        <v>46372</v>
      </c>
      <c r="C356" s="3">
        <v>12</v>
      </c>
      <c r="D356" s="3">
        <v>16</v>
      </c>
      <c r="E356" s="3">
        <f t="shared" si="73"/>
        <v>4</v>
      </c>
      <c r="F356" s="4" t="str">
        <f>IF($E356=참조!$B$2,참조!$C$2,IF($E356=참조!$B$3,참조!$C$3,IF($E356=참조!$B$4,참조!$C$4,IF($E356=참조!$B$5,참조!$C$5,IF($E356=참조!$B$6,참조!$C$6,IF($E356=참조!$B$7,참조!$C$7,IF($E356=참조!$B$8,참조!$C$8,"")))))))</f>
        <v>水</v>
      </c>
      <c r="G356" s="4" t="str">
        <f>IF($F356=참조!$C$2,참조!$D$2,IF($F356=참조!$C$8,참조!$D$2,IF(COUNTIF('2026년휴일'!$B:$B,$B356)&gt;0,참조!$D$2,참조!$D$3)))</f>
        <v>勤</v>
      </c>
      <c r="H356" s="31">
        <f>IF($G356=참조!$D$3,참조!$E$3,참조!$E$2)</f>
        <v>1000</v>
      </c>
      <c r="I356" s="31">
        <f>SUMIFS(지출기록_12월!$H$3:$H$314,지출기록_12월!$E$3:$E$314,B356,지출기록_12월!$F$3:$F$314,참조!$F$2)</f>
        <v>0</v>
      </c>
      <c r="J356" s="31">
        <f>SUMIFS(지출기록_12월!$H$3:$H$314,지출기록_12월!$E$3:$E$314,B356,지출기록_12월!$F$3:$F$314,참조!$F$3)</f>
        <v>0</v>
      </c>
      <c r="K356" s="31">
        <f t="shared" ref="K356:K358" si="84">I356-J356</f>
        <v>0</v>
      </c>
      <c r="L356" s="31">
        <f t="shared" ca="1" si="75"/>
        <v>1000</v>
      </c>
      <c r="M356" s="31">
        <f t="shared" si="69"/>
        <v>1000</v>
      </c>
    </row>
    <row r="357" spans="2:14" x14ac:dyDescent="0.3">
      <c r="B357" s="5">
        <f t="shared" si="74"/>
        <v>46373</v>
      </c>
      <c r="C357" s="3">
        <v>12</v>
      </c>
      <c r="D357" s="3">
        <v>17</v>
      </c>
      <c r="E357" s="3">
        <f t="shared" si="73"/>
        <v>5</v>
      </c>
      <c r="F357" s="4" t="str">
        <f>IF($E357=참조!$B$2,참조!$C$2,IF($E357=참조!$B$3,참조!$C$3,IF($E357=참조!$B$4,참조!$C$4,IF($E357=참조!$B$5,참조!$C$5,IF($E357=참조!$B$6,참조!$C$6,IF($E357=참조!$B$7,참조!$C$7,IF($E357=참조!$B$8,참조!$C$8,"")))))))</f>
        <v>木</v>
      </c>
      <c r="G357" s="4" t="str">
        <f>IF($F357=참조!$C$2,참조!$D$2,IF($F357=참조!$C$8,참조!$D$2,IF(COUNTIF('2026년휴일'!$B:$B,$B357)&gt;0,참조!$D$2,참조!$D$3)))</f>
        <v>勤</v>
      </c>
      <c r="H357" s="31">
        <f>IF($G357=참조!$D$3,참조!$E$3,참조!$E$2)</f>
        <v>1000</v>
      </c>
      <c r="I357" s="31">
        <f>SUMIFS(지출기록_12월!$H$3:$H$314,지출기록_12월!$E$3:$E$314,B357,지출기록_12월!$F$3:$F$314,참조!$F$2)</f>
        <v>0</v>
      </c>
      <c r="J357" s="31">
        <f>SUMIFS(지출기록_12월!$H$3:$H$314,지출기록_12월!$E$3:$E$314,B357,지출기록_12월!$F$3:$F$314,참조!$F$3)</f>
        <v>0</v>
      </c>
      <c r="K357" s="31">
        <f t="shared" si="84"/>
        <v>0</v>
      </c>
      <c r="L357" s="31">
        <f t="shared" ca="1" si="75"/>
        <v>1000</v>
      </c>
      <c r="M357" s="31">
        <f t="shared" si="69"/>
        <v>1000</v>
      </c>
    </row>
    <row r="358" spans="2:14" x14ac:dyDescent="0.3">
      <c r="B358" s="5">
        <f t="shared" si="74"/>
        <v>46374</v>
      </c>
      <c r="C358" s="3">
        <v>12</v>
      </c>
      <c r="D358" s="3">
        <v>18</v>
      </c>
      <c r="E358" s="3">
        <f t="shared" si="73"/>
        <v>6</v>
      </c>
      <c r="F358" s="4" t="str">
        <f>IF($E358=참조!$B$2,참조!$C$2,IF($E358=참조!$B$3,참조!$C$3,IF($E358=참조!$B$4,참조!$C$4,IF($E358=참조!$B$5,참조!$C$5,IF($E358=참조!$B$6,참조!$C$6,IF($E358=참조!$B$7,참조!$C$7,IF($E358=참조!$B$8,참조!$C$8,"")))))))</f>
        <v>金</v>
      </c>
      <c r="G358" s="4" t="str">
        <f>IF($F358=참조!$C$2,참조!$D$2,IF($F358=참조!$C$8,참조!$D$2,IF(COUNTIF('2026년휴일'!$B:$B,$B358)&gt;0,참조!$D$2,참조!$D$3)))</f>
        <v>勤</v>
      </c>
      <c r="H358" s="31">
        <f>IF($G358=참조!$D$3,참조!$E$3,참조!$E$2)</f>
        <v>1000</v>
      </c>
      <c r="I358" s="31">
        <f>SUMIFS(지출기록_12월!$H$3:$H$314,지출기록_12월!$E$3:$E$314,B358,지출기록_12월!$F$3:$F$314,참조!$F$2)</f>
        <v>0</v>
      </c>
      <c r="J358" s="31">
        <f>SUMIFS(지출기록_12월!$H$3:$H$314,지출기록_12월!$E$3:$E$314,B358,지출기록_12월!$F$3:$F$314,참조!$F$3)</f>
        <v>0</v>
      </c>
      <c r="K358" s="31">
        <f t="shared" si="84"/>
        <v>0</v>
      </c>
      <c r="L358" s="31">
        <f t="shared" ca="1" si="75"/>
        <v>1000</v>
      </c>
      <c r="M358" s="31">
        <f t="shared" si="69"/>
        <v>1000</v>
      </c>
    </row>
    <row r="359" spans="2:14" x14ac:dyDescent="0.3">
      <c r="B359" s="5">
        <f t="shared" si="74"/>
        <v>46375</v>
      </c>
      <c r="C359" s="3">
        <v>12</v>
      </c>
      <c r="D359" s="3">
        <v>19</v>
      </c>
      <c r="E359" s="3">
        <f t="shared" si="73"/>
        <v>7</v>
      </c>
      <c r="F359" s="4" t="str">
        <f>IF($E359=참조!$B$2,참조!$C$2,IF($E359=참조!$B$3,참조!$C$3,IF($E359=참조!$B$4,참조!$C$4,IF($E359=참조!$B$5,참조!$C$5,IF($E359=참조!$B$6,참조!$C$6,IF($E359=참조!$B$7,참조!$C$7,IF($E359=참조!$B$8,참조!$C$8,"")))))))</f>
        <v>土</v>
      </c>
      <c r="G359" s="4" t="str">
        <f>IF($F359=참조!$C$2,참조!$D$2,IF($F359=참조!$C$8,참조!$D$2,IF(COUNTIF('2026년휴일'!$B:$B,$B359)&gt;0,참조!$D$2,참조!$D$3)))</f>
        <v>休</v>
      </c>
      <c r="H359" s="31">
        <f>IF($G359=참조!$D$3,참조!$E$3,참조!$E$2)</f>
        <v>5000</v>
      </c>
      <c r="I359" s="31">
        <f>SUMIFS(지출기록_12월!$H$3:$H$314,지출기록_12월!$E$3:$E$314,B359,지출기록_12월!$F$3:$F$314,참조!$F$2)</f>
        <v>0</v>
      </c>
      <c r="J359" s="31">
        <f>SUMIFS(지출기록_12월!$H$3:$H$314,지출기록_12월!$E$3:$E$314,B359,지출기록_12월!$F$3:$F$314,참조!$F$3)</f>
        <v>0</v>
      </c>
      <c r="K359" s="31">
        <f t="shared" ref="K359:K362" si="85">I359-J359</f>
        <v>0</v>
      </c>
      <c r="L359" s="31">
        <f t="shared" ca="1" si="75"/>
        <v>5000</v>
      </c>
      <c r="M359" s="31">
        <f t="shared" si="69"/>
        <v>5000</v>
      </c>
    </row>
    <row r="360" spans="2:14" x14ac:dyDescent="0.3">
      <c r="B360" s="5">
        <f t="shared" si="74"/>
        <v>46376</v>
      </c>
      <c r="C360" s="3">
        <v>12</v>
      </c>
      <c r="D360" s="3">
        <v>20</v>
      </c>
      <c r="E360" s="3">
        <f t="shared" si="73"/>
        <v>1</v>
      </c>
      <c r="F360" s="4" t="str">
        <f>IF($E360=참조!$B$2,참조!$C$2,IF($E360=참조!$B$3,참조!$C$3,IF($E360=참조!$B$4,참조!$C$4,IF($E360=참조!$B$5,참조!$C$5,IF($E360=참조!$B$6,참조!$C$6,IF($E360=참조!$B$7,참조!$C$7,IF($E360=참조!$B$8,참조!$C$8,"")))))))</f>
        <v>日</v>
      </c>
      <c r="G360" s="4" t="str">
        <f>IF($F360=참조!$C$2,참조!$D$2,IF($F360=참조!$C$8,참조!$D$2,IF(COUNTIF('2026년휴일'!$B:$B,$B360)&gt;0,참조!$D$2,참조!$D$3)))</f>
        <v>休</v>
      </c>
      <c r="H360" s="31">
        <f>IF($G360=참조!$D$3,참조!$E$3,참조!$E$2)</f>
        <v>5000</v>
      </c>
      <c r="I360" s="31">
        <f>SUMIFS(지출기록_12월!$H$3:$H$314,지출기록_12월!$E$3:$E$314,B360,지출기록_12월!$F$3:$F$314,참조!$F$2)</f>
        <v>0</v>
      </c>
      <c r="J360" s="31">
        <f>SUMIFS(지출기록_12월!$H$3:$H$314,지출기록_12월!$E$3:$E$314,B360,지출기록_12월!$F$3:$F$314,참조!$F$3)</f>
        <v>0</v>
      </c>
      <c r="K360" s="31">
        <f t="shared" si="85"/>
        <v>0</v>
      </c>
      <c r="L360" s="31">
        <f t="shared" ca="1" si="75"/>
        <v>5000</v>
      </c>
      <c r="M360" s="31">
        <f t="shared" si="69"/>
        <v>5000</v>
      </c>
    </row>
    <row r="361" spans="2:14" x14ac:dyDescent="0.3">
      <c r="B361" s="5">
        <f t="shared" si="74"/>
        <v>46377</v>
      </c>
      <c r="C361" s="3">
        <v>12</v>
      </c>
      <c r="D361" s="3">
        <v>21</v>
      </c>
      <c r="E361" s="3">
        <f t="shared" si="73"/>
        <v>2</v>
      </c>
      <c r="F361" s="4" t="str">
        <f>IF($E361=참조!$B$2,참조!$C$2,IF($E361=참조!$B$3,참조!$C$3,IF($E361=참조!$B$4,참조!$C$4,IF($E361=참조!$B$5,참조!$C$5,IF($E361=참조!$B$6,참조!$C$6,IF($E361=참조!$B$7,참조!$C$7,IF($E361=참조!$B$8,참조!$C$8,"")))))))</f>
        <v>月</v>
      </c>
      <c r="G361" s="4" t="str">
        <f>IF($F361=참조!$C$2,참조!$D$2,IF($F361=참조!$C$8,참조!$D$2,IF(COUNTIF('2026년휴일'!$B:$B,$B361)&gt;0,참조!$D$2,참조!$D$3)))</f>
        <v>勤</v>
      </c>
      <c r="H361" s="31">
        <f>IF($G361=참조!$D$3,참조!$E$3,참조!$E$2)</f>
        <v>1000</v>
      </c>
      <c r="I361" s="31">
        <f>SUMIFS(지출기록_12월!$H$3:$H$314,지출기록_12월!$E$3:$E$314,B361,지출기록_12월!$F$3:$F$314,참조!$F$2)</f>
        <v>0</v>
      </c>
      <c r="J361" s="31">
        <f>SUMIFS(지출기록_12월!$H$3:$H$314,지출기록_12월!$E$3:$E$314,B361,지출기록_12월!$F$3:$F$314,참조!$F$3)</f>
        <v>0</v>
      </c>
      <c r="K361" s="31">
        <f t="shared" si="85"/>
        <v>0</v>
      </c>
      <c r="L361" s="31">
        <f t="shared" ca="1" si="75"/>
        <v>1000</v>
      </c>
      <c r="M361" s="31">
        <f t="shared" si="69"/>
        <v>1000</v>
      </c>
      <c r="N361" s="3">
        <f>SUM(K355:K361)</f>
        <v>0</v>
      </c>
    </row>
    <row r="362" spans="2:14" x14ac:dyDescent="0.3">
      <c r="B362" s="5">
        <f t="shared" si="74"/>
        <v>46378</v>
      </c>
      <c r="C362" s="3">
        <v>12</v>
      </c>
      <c r="D362" s="3">
        <v>22</v>
      </c>
      <c r="E362" s="3">
        <f t="shared" si="73"/>
        <v>3</v>
      </c>
      <c r="F362" s="4" t="str">
        <f>IF($E362=참조!$B$2,참조!$C$2,IF($E362=참조!$B$3,참조!$C$3,IF($E362=참조!$B$4,참조!$C$4,IF($E362=참조!$B$5,참조!$C$5,IF($E362=참조!$B$6,참조!$C$6,IF($E362=참조!$B$7,참조!$C$7,IF($E362=참조!$B$8,참조!$C$8,"")))))))</f>
        <v>火</v>
      </c>
      <c r="G362" s="4" t="str">
        <f>IF($F362=참조!$C$2,참조!$D$2,IF($F362=참조!$C$8,참조!$D$2,IF(COUNTIF('2026년휴일'!$B:$B,$B362)&gt;0,참조!$D$2,참조!$D$3)))</f>
        <v>勤</v>
      </c>
      <c r="H362" s="31">
        <f>IF($G362=참조!$D$3,참조!$E$3,참조!$E$2)</f>
        <v>1000</v>
      </c>
      <c r="I362" s="31">
        <f>SUMIFS(지출기록_12월!$H$3:$H$314,지출기록_12월!$E$3:$E$314,B362,지출기록_12월!$F$3:$F$314,참조!$F$2)</f>
        <v>0</v>
      </c>
      <c r="J362" s="31">
        <f>SUMIFS(지출기록_12월!$H$3:$H$314,지출기록_12월!$E$3:$E$314,B362,지출기록_12월!$F$3:$F$314,참조!$F$3)</f>
        <v>0</v>
      </c>
      <c r="K362" s="31">
        <f t="shared" si="85"/>
        <v>0</v>
      </c>
      <c r="L362" s="31">
        <f t="shared" ca="1" si="75"/>
        <v>1000</v>
      </c>
      <c r="M362" s="31">
        <f t="shared" si="69"/>
        <v>1000</v>
      </c>
    </row>
    <row r="363" spans="2:14" x14ac:dyDescent="0.3">
      <c r="B363" s="5">
        <f t="shared" si="74"/>
        <v>46379</v>
      </c>
      <c r="C363" s="3">
        <v>12</v>
      </c>
      <c r="D363" s="3">
        <v>23</v>
      </c>
      <c r="E363" s="3">
        <f t="shared" si="73"/>
        <v>4</v>
      </c>
      <c r="F363" s="4" t="str">
        <f>IF($E363=참조!$B$2,참조!$C$2,IF($E363=참조!$B$3,참조!$C$3,IF($E363=참조!$B$4,참조!$C$4,IF($E363=참조!$B$5,참조!$C$5,IF($E363=참조!$B$6,참조!$C$6,IF($E363=참조!$B$7,참조!$C$7,IF($E363=참조!$B$8,참조!$C$8,"")))))))</f>
        <v>水</v>
      </c>
      <c r="G363" s="4" t="str">
        <f>IF($F363=참조!$C$2,참조!$D$2,IF($F363=참조!$C$8,참조!$D$2,IF(COUNTIF('2026년휴일'!$B:$B,$B363)&gt;0,참조!$D$2,참조!$D$3)))</f>
        <v>勤</v>
      </c>
      <c r="H363" s="31">
        <f>IF($G363=참조!$D$3,참조!$E$3,참조!$E$2)</f>
        <v>1000</v>
      </c>
      <c r="I363" s="31">
        <f>SUMIFS(지출기록_12월!$H$3:$H$314,지출기록_12월!$E$3:$E$314,B363,지출기록_12월!$F$3:$F$314,참조!$F$2)</f>
        <v>0</v>
      </c>
      <c r="J363" s="31">
        <f>SUMIFS(지출기록_12월!$H$3:$H$314,지출기록_12월!$E$3:$E$314,B363,지출기록_12월!$F$3:$F$314,참조!$F$3)</f>
        <v>0</v>
      </c>
      <c r="K363" s="31">
        <f t="shared" ref="K363:K371" si="86">I363-J363</f>
        <v>0</v>
      </c>
      <c r="L363" s="31">
        <f t="shared" ca="1" si="75"/>
        <v>1000</v>
      </c>
      <c r="M363" s="31">
        <f t="shared" si="69"/>
        <v>1000</v>
      </c>
    </row>
    <row r="364" spans="2:14" x14ac:dyDescent="0.3">
      <c r="B364" s="5">
        <f t="shared" si="74"/>
        <v>46380</v>
      </c>
      <c r="C364" s="3">
        <v>12</v>
      </c>
      <c r="D364" s="3">
        <v>24</v>
      </c>
      <c r="E364" s="3">
        <f t="shared" si="73"/>
        <v>5</v>
      </c>
      <c r="F364" s="4" t="str">
        <f>IF($E364=참조!$B$2,참조!$C$2,IF($E364=참조!$B$3,참조!$C$3,IF($E364=참조!$B$4,참조!$C$4,IF($E364=참조!$B$5,참조!$C$5,IF($E364=참조!$B$6,참조!$C$6,IF($E364=참조!$B$7,참조!$C$7,IF($E364=참조!$B$8,참조!$C$8,"")))))))</f>
        <v>木</v>
      </c>
      <c r="G364" s="4" t="str">
        <f>IF($F364=참조!$C$2,참조!$D$2,IF($F364=참조!$C$8,참조!$D$2,IF(COUNTIF('2026년휴일'!$B:$B,$B364)&gt;0,참조!$D$2,참조!$D$3)))</f>
        <v>勤</v>
      </c>
      <c r="H364" s="31">
        <f>IF($G364=참조!$D$3,참조!$E$3,참조!$E$2)</f>
        <v>1000</v>
      </c>
      <c r="I364" s="31">
        <f>SUMIFS(지출기록_12월!$H$3:$H$314,지출기록_12월!$E$3:$E$314,B364,지출기록_12월!$F$3:$F$314,참조!$F$2)</f>
        <v>0</v>
      </c>
      <c r="J364" s="31">
        <f>SUMIFS(지출기록_12월!$H$3:$H$314,지출기록_12월!$E$3:$E$314,B364,지출기록_12월!$F$3:$F$314,참조!$F$3)</f>
        <v>0</v>
      </c>
      <c r="K364" s="31">
        <f t="shared" si="86"/>
        <v>0</v>
      </c>
      <c r="L364" s="31">
        <f t="shared" ca="1" si="75"/>
        <v>1000</v>
      </c>
      <c r="M364" s="31">
        <f t="shared" si="69"/>
        <v>1000</v>
      </c>
    </row>
    <row r="365" spans="2:14" x14ac:dyDescent="0.3">
      <c r="B365" s="5">
        <f t="shared" si="74"/>
        <v>46381</v>
      </c>
      <c r="C365" s="3">
        <v>12</v>
      </c>
      <c r="D365" s="3">
        <v>25</v>
      </c>
      <c r="E365" s="3">
        <f t="shared" si="73"/>
        <v>6</v>
      </c>
      <c r="F365" s="4" t="str">
        <f>IF($E365=참조!$B$2,참조!$C$2,IF($E365=참조!$B$3,참조!$C$3,IF($E365=참조!$B$4,참조!$C$4,IF($E365=참조!$B$5,참조!$C$5,IF($E365=참조!$B$6,참조!$C$6,IF($E365=참조!$B$7,참조!$C$7,IF($E365=참조!$B$8,참조!$C$8,"")))))))</f>
        <v>金</v>
      </c>
      <c r="G365" s="4" t="str">
        <f>IF($F365=참조!$C$2,참조!$D$2,IF($F365=참조!$C$8,참조!$D$2,IF(COUNTIF('2026년휴일'!$B:$B,$B365)&gt;0,참조!$D$2,참조!$D$3)))</f>
        <v>勤</v>
      </c>
      <c r="H365" s="31">
        <f>IF($G365=참조!$D$3,참조!$E$3,참조!$E$2)</f>
        <v>1000</v>
      </c>
      <c r="I365" s="31">
        <f>SUMIFS(지출기록_12월!$H$3:$H$314,지출기록_12월!$E$3:$E$314,B365,지출기록_12월!$F$3:$F$314,참조!$F$2)</f>
        <v>0</v>
      </c>
      <c r="J365" s="31">
        <f>SUMIFS(지출기록_12월!$H$3:$H$314,지출기록_12월!$E$3:$E$314,B365,지출기록_12월!$F$3:$F$314,참조!$F$3)</f>
        <v>0</v>
      </c>
      <c r="K365" s="31">
        <f t="shared" si="86"/>
        <v>0</v>
      </c>
      <c r="L365" s="31">
        <f t="shared" ca="1" si="75"/>
        <v>1000</v>
      </c>
      <c r="M365" s="31">
        <f t="shared" si="69"/>
        <v>1000</v>
      </c>
    </row>
    <row r="366" spans="2:14" x14ac:dyDescent="0.3">
      <c r="B366" s="5">
        <f t="shared" si="74"/>
        <v>46382</v>
      </c>
      <c r="C366" s="3">
        <v>12</v>
      </c>
      <c r="D366" s="3">
        <v>26</v>
      </c>
      <c r="E366" s="3">
        <f t="shared" si="73"/>
        <v>7</v>
      </c>
      <c r="F366" s="4" t="str">
        <f>IF($E366=참조!$B$2,참조!$C$2,IF($E366=참조!$B$3,참조!$C$3,IF($E366=참조!$B$4,참조!$C$4,IF($E366=참조!$B$5,참조!$C$5,IF($E366=참조!$B$6,참조!$C$6,IF($E366=참조!$B$7,참조!$C$7,IF($E366=참조!$B$8,참조!$C$8,"")))))))</f>
        <v>土</v>
      </c>
      <c r="G366" s="4" t="str">
        <f>IF($F366=참조!$C$2,참조!$D$2,IF($F366=참조!$C$8,참조!$D$2,IF(COUNTIF('2026년휴일'!$B:$B,$B366)&gt;0,참조!$D$2,참조!$D$3)))</f>
        <v>休</v>
      </c>
      <c r="H366" s="31">
        <f>IF($G366=참조!$D$3,참조!$E$3,참조!$E$2)</f>
        <v>5000</v>
      </c>
      <c r="I366" s="31">
        <f>SUMIFS(지출기록_12월!$H$3:$H$314,지출기록_12월!$E$3:$E$314,B366,지출기록_12월!$F$3:$F$314,참조!$F$2)</f>
        <v>0</v>
      </c>
      <c r="J366" s="31">
        <f>SUMIFS(지출기록_12월!$H$3:$H$314,지출기록_12월!$E$3:$E$314,B366,지출기록_12월!$F$3:$F$314,참조!$F$3)</f>
        <v>0</v>
      </c>
      <c r="K366" s="31">
        <f t="shared" si="86"/>
        <v>0</v>
      </c>
      <c r="L366" s="31">
        <f t="shared" ca="1" si="75"/>
        <v>5000</v>
      </c>
      <c r="M366" s="31">
        <f t="shared" si="69"/>
        <v>5000</v>
      </c>
    </row>
    <row r="367" spans="2:14" x14ac:dyDescent="0.3">
      <c r="B367" s="5">
        <f t="shared" si="74"/>
        <v>46383</v>
      </c>
      <c r="C367" s="3">
        <v>12</v>
      </c>
      <c r="D367" s="3">
        <v>27</v>
      </c>
      <c r="E367" s="3">
        <f t="shared" si="73"/>
        <v>1</v>
      </c>
      <c r="F367" s="4" t="str">
        <f>IF($E367=참조!$B$2,참조!$C$2,IF($E367=참조!$B$3,참조!$C$3,IF($E367=참조!$B$4,참조!$C$4,IF($E367=참조!$B$5,참조!$C$5,IF($E367=참조!$B$6,참조!$C$6,IF($E367=참조!$B$7,참조!$C$7,IF($E367=참조!$B$8,참조!$C$8,"")))))))</f>
        <v>日</v>
      </c>
      <c r="G367" s="4" t="str">
        <f>IF($F367=참조!$C$2,참조!$D$2,IF($F367=참조!$C$8,참조!$D$2,IF(COUNTIF('2026년휴일'!$B:$B,$B367)&gt;0,참조!$D$2,참조!$D$3)))</f>
        <v>休</v>
      </c>
      <c r="H367" s="31">
        <f>IF($G367=참조!$D$3,참조!$E$3,참조!$E$2)</f>
        <v>5000</v>
      </c>
      <c r="I367" s="31">
        <f>SUMIFS(지출기록_12월!$H$3:$H$314,지출기록_12월!$E$3:$E$314,B367,지출기록_12월!$F$3:$F$314,참조!$F$2)</f>
        <v>0</v>
      </c>
      <c r="J367" s="31">
        <f>SUMIFS(지출기록_12월!$H$3:$H$314,지출기록_12월!$E$3:$E$314,B367,지출기록_12월!$F$3:$F$314,참조!$F$3)</f>
        <v>0</v>
      </c>
      <c r="K367" s="31">
        <f t="shared" si="86"/>
        <v>0</v>
      </c>
      <c r="L367" s="31">
        <f t="shared" ca="1" si="75"/>
        <v>5000</v>
      </c>
      <c r="M367" s="31">
        <f t="shared" si="69"/>
        <v>5000</v>
      </c>
    </row>
    <row r="368" spans="2:14" x14ac:dyDescent="0.3">
      <c r="B368" s="5">
        <f t="shared" si="74"/>
        <v>46384</v>
      </c>
      <c r="C368" s="3">
        <v>12</v>
      </c>
      <c r="D368" s="3">
        <v>28</v>
      </c>
      <c r="E368" s="3">
        <f t="shared" si="73"/>
        <v>2</v>
      </c>
      <c r="F368" s="4" t="str">
        <f>IF($E368=참조!$B$2,참조!$C$2,IF($E368=참조!$B$3,참조!$C$3,IF($E368=참조!$B$4,참조!$C$4,IF($E368=참조!$B$5,참조!$C$5,IF($E368=참조!$B$6,참조!$C$6,IF($E368=참조!$B$7,참조!$C$7,IF($E368=참조!$B$8,참조!$C$8,"")))))))</f>
        <v>月</v>
      </c>
      <c r="G368" s="4" t="str">
        <f>IF($F368=참조!$C$2,참조!$D$2,IF($F368=참조!$C$8,참조!$D$2,IF(COUNTIF('2026년휴일'!$B:$B,$B368)&gt;0,참조!$D$2,참조!$D$3)))</f>
        <v>休</v>
      </c>
      <c r="H368" s="31">
        <f>IF($G368=참조!$D$3,참조!$E$3,참조!$E$2)</f>
        <v>5000</v>
      </c>
      <c r="I368" s="31">
        <f>SUMIFS(지출기록_12월!$H$3:$H$314,지출기록_12월!$E$3:$E$314,B368,지출기록_12월!$F$3:$F$314,참조!$F$2)</f>
        <v>0</v>
      </c>
      <c r="J368" s="31">
        <f>SUMIFS(지출기록_12월!$H$3:$H$314,지출기록_12월!$E$3:$E$314,B368,지출기록_12월!$F$3:$F$314,참조!$F$3)</f>
        <v>0</v>
      </c>
      <c r="K368" s="31">
        <f t="shared" si="86"/>
        <v>0</v>
      </c>
      <c r="L368" s="31">
        <f t="shared" ca="1" si="75"/>
        <v>5000</v>
      </c>
      <c r="M368" s="31">
        <f t="shared" si="69"/>
        <v>5000</v>
      </c>
      <c r="N368" s="3">
        <f>SUM(K362:K368)</f>
        <v>0</v>
      </c>
    </row>
    <row r="369" spans="2:13" x14ac:dyDescent="0.3">
      <c r="B369" s="5">
        <f t="shared" si="74"/>
        <v>46385</v>
      </c>
      <c r="C369" s="3">
        <v>12</v>
      </c>
      <c r="D369" s="3">
        <v>29</v>
      </c>
      <c r="E369" s="3">
        <f t="shared" si="73"/>
        <v>3</v>
      </c>
      <c r="F369" s="4" t="str">
        <f>IF($E369=참조!$B$2,참조!$C$2,IF($E369=참조!$B$3,참조!$C$3,IF($E369=참조!$B$4,참조!$C$4,IF($E369=참조!$B$5,참조!$C$5,IF($E369=참조!$B$6,참조!$C$6,IF($E369=참조!$B$7,참조!$C$7,IF($E369=참조!$B$8,참조!$C$8,"")))))))</f>
        <v>火</v>
      </c>
      <c r="G369" s="4" t="str">
        <f>IF($F369=참조!$C$2,참조!$D$2,IF($F369=참조!$C$8,참조!$D$2,IF(COUNTIF('2026년휴일'!$B:$B,$B369)&gt;0,참조!$D$2,참조!$D$3)))</f>
        <v>休</v>
      </c>
      <c r="H369" s="31">
        <f>IF($G369=참조!$D$3,참조!$E$3,참조!$E$2)</f>
        <v>5000</v>
      </c>
      <c r="I369" s="31">
        <f>SUMIFS(지출기록_12월!$H$3:$H$314,지출기록_12월!$E$3:$E$314,B369,지출기록_12월!$F$3:$F$314,참조!$F$2)</f>
        <v>0</v>
      </c>
      <c r="J369" s="31">
        <f>SUMIFS(지출기록_12월!$H$3:$H$314,지출기록_12월!$E$3:$E$314,B369,지출기록_12월!$F$3:$F$314,참조!$F$3)</f>
        <v>0</v>
      </c>
      <c r="K369" s="31">
        <f t="shared" si="86"/>
        <v>0</v>
      </c>
      <c r="L369" s="31">
        <f t="shared" ca="1" si="75"/>
        <v>5000</v>
      </c>
      <c r="M369" s="31">
        <f t="shared" si="69"/>
        <v>5000</v>
      </c>
    </row>
    <row r="370" spans="2:13" x14ac:dyDescent="0.3">
      <c r="B370" s="5">
        <f t="shared" si="74"/>
        <v>46386</v>
      </c>
      <c r="C370" s="3">
        <v>12</v>
      </c>
      <c r="D370" s="3">
        <v>30</v>
      </c>
      <c r="E370" s="3">
        <f t="shared" si="73"/>
        <v>4</v>
      </c>
      <c r="F370" s="4" t="str">
        <f>IF($E370=참조!$B$2,참조!$C$2,IF($E370=참조!$B$3,참조!$C$3,IF($E370=참조!$B$4,참조!$C$4,IF($E370=참조!$B$5,참조!$C$5,IF($E370=참조!$B$6,참조!$C$6,IF($E370=참조!$B$7,참조!$C$7,IF($E370=참조!$B$8,참조!$C$8,"")))))))</f>
        <v>水</v>
      </c>
      <c r="G370" s="4" t="str">
        <f>IF($F370=참조!$C$2,참조!$D$2,IF($F370=참조!$C$8,참조!$D$2,IF(COUNTIF('2026년휴일'!$B:$B,$B370)&gt;0,참조!$D$2,참조!$D$3)))</f>
        <v>休</v>
      </c>
      <c r="H370" s="31">
        <f>IF($G370=참조!$D$3,참조!$E$3,참조!$E$2)</f>
        <v>5000</v>
      </c>
      <c r="I370" s="31">
        <f>SUMIFS(지출기록_12월!$H$3:$H$314,지출기록_12월!$E$3:$E$314,B370,지출기록_12월!$F$3:$F$314,참조!$F$2)</f>
        <v>0</v>
      </c>
      <c r="J370" s="31">
        <f>SUMIFS(지출기록_12월!$H$3:$H$314,지출기록_12월!$E$3:$E$314,B370,지출기록_12월!$F$3:$F$314,참조!$F$3)</f>
        <v>0</v>
      </c>
      <c r="K370" s="31">
        <f t="shared" si="86"/>
        <v>0</v>
      </c>
      <c r="L370" s="31">
        <f t="shared" ca="1" si="75"/>
        <v>5000</v>
      </c>
      <c r="M370" s="31">
        <f t="shared" si="69"/>
        <v>5000</v>
      </c>
    </row>
    <row r="371" spans="2:13" x14ac:dyDescent="0.3">
      <c r="B371" s="5">
        <f t="shared" si="74"/>
        <v>46387</v>
      </c>
      <c r="C371" s="3">
        <v>12</v>
      </c>
      <c r="D371" s="3">
        <v>31</v>
      </c>
      <c r="E371" s="3">
        <f t="shared" si="73"/>
        <v>5</v>
      </c>
      <c r="F371" s="4" t="str">
        <f>IF($E371=참조!$B$2,참조!$C$2,IF($E371=참조!$B$3,참조!$C$3,IF($E371=참조!$B$4,참조!$C$4,IF($E371=참조!$B$5,참조!$C$5,IF($E371=참조!$B$6,참조!$C$6,IF($E371=참조!$B$7,참조!$C$7,IF($E371=참조!$B$8,참조!$C$8,"")))))))</f>
        <v>木</v>
      </c>
      <c r="G371" s="4" t="str">
        <f>IF($F371=참조!$C$2,참조!$D$2,IF($F371=참조!$C$8,참조!$D$2,IF(COUNTIF('2026년휴일'!$B:$B,$B371)&gt;0,참조!$D$2,참조!$D$3)))</f>
        <v>休</v>
      </c>
      <c r="H371" s="31">
        <f>IF($G371=참조!$D$3,참조!$E$3,참조!$E$2)</f>
        <v>5000</v>
      </c>
      <c r="I371" s="31">
        <f>SUMIFS(지출기록_12월!$H$3:$H$314,지출기록_12월!$E$3:$E$314,B371,지출기록_12월!$F$3:$F$314,참조!$F$2)</f>
        <v>0</v>
      </c>
      <c r="J371" s="31">
        <f>SUMIFS(지출기록_12월!$H$3:$H$314,지출기록_12월!$E$3:$E$314,B371,지출기록_12월!$F$3:$F$314,참조!$F$3)</f>
        <v>0</v>
      </c>
      <c r="K371" s="31">
        <f t="shared" si="86"/>
        <v>0</v>
      </c>
      <c r="L371" s="31">
        <f t="shared" ca="1" si="75"/>
        <v>5000</v>
      </c>
      <c r="M371" s="31">
        <f t="shared" si="69"/>
        <v>5000</v>
      </c>
    </row>
  </sheetData>
  <phoneticPr fontId="1" type="noConversion"/>
  <conditionalFormatting sqref="E7:G371 B7:B371">
    <cfRule type="expression" dxfId="5" priority="5">
      <formula>$B7=$B$2</formula>
    </cfRule>
  </conditionalFormatting>
  <conditionalFormatting sqref="D7:D371">
    <cfRule type="expression" dxfId="4" priority="3">
      <formula>$B7=$B$2</formula>
    </cfRule>
  </conditionalFormatting>
  <conditionalFormatting sqref="C7:C371">
    <cfRule type="expression" dxfId="3" priority="1">
      <formula>$B7=$B$2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252232ED-E194-4A34-B1D5-3DE2A17FD650}">
            <xm:f>$G7=참조!$D$2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m:sqref>E7:G371 B7:B371</xm:sqref>
        </x14:conditionalFormatting>
        <x14:conditionalFormatting xmlns:xm="http://schemas.microsoft.com/office/excel/2006/main">
          <x14:cfRule type="expression" priority="4" id="{88FA05A5-36A7-409E-A2C5-92E36B228A92}">
            <xm:f>$G7=참조!$D$2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m:sqref>D7:D371</xm:sqref>
        </x14:conditionalFormatting>
        <x14:conditionalFormatting xmlns:xm="http://schemas.microsoft.com/office/excel/2006/main">
          <x14:cfRule type="expression" priority="2" id="{C60F01CD-919C-4801-9DF9-55FE47D63DF0}">
            <xm:f>$G7=참조!$D$2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m:sqref>C7:C371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"/>
  <sheetViews>
    <sheetView tabSelected="1" workbookViewId="0">
      <pane ySplit="2" topLeftCell="A3" activePane="bottomLeft" state="frozen"/>
      <selection activeCell="C3" sqref="C3"/>
      <selection pane="bottomLeft" activeCell="C3" sqref="C3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f>'2026년달력'!A1</f>
        <v>2026</v>
      </c>
    </row>
    <row r="2" spans="1:10" ht="14.25" thickBot="1" x14ac:dyDescent="0.35">
      <c r="A2" s="3" t="s">
        <v>1</v>
      </c>
      <c r="B2" s="3">
        <v>1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46023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46023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46023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46023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46023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46023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46023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46023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46023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46023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46024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46024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46024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46024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46024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46024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46024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46024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46024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46024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46025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46025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46025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46025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46025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46025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46025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46025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46025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46025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46026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46026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46026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46026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46026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46026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46026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46026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46026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46026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46027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46027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46027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46027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46027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46027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46027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46027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46027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46027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46028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46028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46028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46028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46028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46028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46028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46028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46028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46028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46029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46029</v>
      </c>
      <c r="F64" s="8"/>
      <c r="G64" s="8"/>
      <c r="H64" s="24"/>
      <c r="I64" s="7"/>
      <c r="J64" s="10"/>
    </row>
    <row r="65" spans="4:12" x14ac:dyDescent="0.3">
      <c r="D65" s="3">
        <v>7</v>
      </c>
      <c r="E65" s="9">
        <f t="shared" si="0"/>
        <v>46029</v>
      </c>
      <c r="F65" s="8"/>
      <c r="G65" s="8"/>
      <c r="H65" s="24"/>
      <c r="I65" s="7"/>
      <c r="J65" s="10"/>
    </row>
    <row r="66" spans="4:12" x14ac:dyDescent="0.3">
      <c r="D66" s="3">
        <v>7</v>
      </c>
      <c r="E66" s="9">
        <f t="shared" si="0"/>
        <v>46029</v>
      </c>
      <c r="F66" s="8"/>
      <c r="G66" s="8"/>
      <c r="H66" s="24"/>
      <c r="I66" s="7"/>
      <c r="J66" s="10"/>
    </row>
    <row r="67" spans="4:12" x14ac:dyDescent="0.3">
      <c r="D67" s="3">
        <v>7</v>
      </c>
      <c r="E67" s="9">
        <f t="shared" si="0"/>
        <v>46029</v>
      </c>
      <c r="F67" s="8"/>
      <c r="G67" s="8"/>
      <c r="H67" s="24"/>
      <c r="I67" s="7"/>
      <c r="J67" s="10"/>
    </row>
    <row r="68" spans="4:12" x14ac:dyDescent="0.3">
      <c r="D68" s="3">
        <v>7</v>
      </c>
      <c r="E68" s="9">
        <f t="shared" ref="E68:E131" si="1">DATE($B$1,$B$2,$D68)</f>
        <v>46029</v>
      </c>
      <c r="F68" s="8"/>
      <c r="G68" s="8"/>
      <c r="H68" s="24"/>
      <c r="I68" s="7"/>
      <c r="J68" s="10"/>
    </row>
    <row r="69" spans="4:12" x14ac:dyDescent="0.3">
      <c r="D69" s="3">
        <v>7</v>
      </c>
      <c r="E69" s="9">
        <f t="shared" si="1"/>
        <v>46029</v>
      </c>
      <c r="F69" s="8"/>
      <c r="G69" s="8"/>
      <c r="H69" s="24"/>
      <c r="I69" s="7"/>
      <c r="J69" s="10"/>
    </row>
    <row r="70" spans="4:12" x14ac:dyDescent="0.3">
      <c r="D70" s="3">
        <v>7</v>
      </c>
      <c r="E70" s="9">
        <f t="shared" si="1"/>
        <v>46029</v>
      </c>
      <c r="F70" s="8"/>
      <c r="G70" s="8"/>
      <c r="H70" s="24"/>
      <c r="I70" s="7"/>
      <c r="J70" s="10"/>
    </row>
    <row r="71" spans="4:12" x14ac:dyDescent="0.3">
      <c r="D71" s="3">
        <v>7</v>
      </c>
      <c r="E71" s="9">
        <f t="shared" si="1"/>
        <v>46029</v>
      </c>
      <c r="F71" s="8"/>
      <c r="G71" s="8"/>
      <c r="H71" s="24"/>
      <c r="I71" s="7"/>
      <c r="J71" s="10"/>
    </row>
    <row r="72" spans="4:12" x14ac:dyDescent="0.3">
      <c r="D72" s="3">
        <v>7</v>
      </c>
      <c r="E72" s="19">
        <f t="shared" si="1"/>
        <v>46029</v>
      </c>
      <c r="F72" s="20"/>
      <c r="G72" s="20"/>
      <c r="H72" s="25"/>
      <c r="I72" s="21"/>
      <c r="J72" s="22"/>
    </row>
    <row r="73" spans="4:12" x14ac:dyDescent="0.3">
      <c r="D73" s="3">
        <v>8</v>
      </c>
      <c r="E73" s="15">
        <f t="shared" si="1"/>
        <v>46030</v>
      </c>
      <c r="F73" s="16"/>
      <c r="G73" s="16"/>
      <c r="H73" s="23"/>
      <c r="I73" s="17"/>
      <c r="J73" s="18"/>
      <c r="L73" s="36"/>
    </row>
    <row r="74" spans="4:12" x14ac:dyDescent="0.3">
      <c r="D74" s="3">
        <v>8</v>
      </c>
      <c r="E74" s="9">
        <f t="shared" si="1"/>
        <v>46030</v>
      </c>
      <c r="F74" s="8"/>
      <c r="G74" s="8"/>
      <c r="H74" s="24"/>
      <c r="I74" s="7"/>
      <c r="J74" s="10"/>
    </row>
    <row r="75" spans="4:12" x14ac:dyDescent="0.3">
      <c r="D75" s="3">
        <v>8</v>
      </c>
      <c r="E75" s="9">
        <f t="shared" si="1"/>
        <v>46030</v>
      </c>
      <c r="F75" s="8"/>
      <c r="G75" s="8"/>
      <c r="H75" s="24"/>
      <c r="I75" s="7"/>
      <c r="J75" s="10"/>
    </row>
    <row r="76" spans="4:12" x14ac:dyDescent="0.3">
      <c r="D76" s="3">
        <v>8</v>
      </c>
      <c r="E76" s="9">
        <f t="shared" si="1"/>
        <v>46030</v>
      </c>
      <c r="F76" s="8"/>
      <c r="G76" s="8"/>
      <c r="H76" s="24"/>
      <c r="I76" s="7"/>
      <c r="J76" s="10"/>
    </row>
    <row r="77" spans="4:12" x14ac:dyDescent="0.3">
      <c r="D77" s="3">
        <v>8</v>
      </c>
      <c r="E77" s="9">
        <f t="shared" si="1"/>
        <v>46030</v>
      </c>
      <c r="F77" s="8"/>
      <c r="G77" s="8"/>
      <c r="H77" s="24"/>
      <c r="I77" s="7"/>
      <c r="J77" s="10"/>
    </row>
    <row r="78" spans="4:12" x14ac:dyDescent="0.3">
      <c r="D78" s="3">
        <v>8</v>
      </c>
      <c r="E78" s="9">
        <f t="shared" si="1"/>
        <v>46030</v>
      </c>
      <c r="F78" s="8"/>
      <c r="G78" s="8"/>
      <c r="H78" s="24"/>
      <c r="I78" s="7"/>
      <c r="J78" s="10"/>
    </row>
    <row r="79" spans="4:12" x14ac:dyDescent="0.3">
      <c r="D79" s="3">
        <v>8</v>
      </c>
      <c r="E79" s="9">
        <f t="shared" si="1"/>
        <v>46030</v>
      </c>
      <c r="F79" s="8"/>
      <c r="G79" s="8"/>
      <c r="H79" s="24"/>
      <c r="I79" s="7"/>
      <c r="J79" s="10"/>
    </row>
    <row r="80" spans="4:12" x14ac:dyDescent="0.3">
      <c r="D80" s="3">
        <v>8</v>
      </c>
      <c r="E80" s="9">
        <f t="shared" si="1"/>
        <v>46030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46030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46030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46031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46031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46031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46031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46031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46031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46031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46031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46031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46031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46032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46032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46032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46032</v>
      </c>
      <c r="F96" s="8"/>
      <c r="G96" s="8"/>
      <c r="H96" s="24"/>
      <c r="I96" s="7"/>
      <c r="J96" s="10"/>
    </row>
    <row r="97" spans="4:12" x14ac:dyDescent="0.3">
      <c r="D97" s="3">
        <v>10</v>
      </c>
      <c r="E97" s="9">
        <f t="shared" si="1"/>
        <v>46032</v>
      </c>
      <c r="F97" s="8"/>
      <c r="G97" s="8"/>
      <c r="H97" s="24"/>
      <c r="I97" s="7"/>
      <c r="J97" s="10"/>
    </row>
    <row r="98" spans="4:12" x14ac:dyDescent="0.3">
      <c r="D98" s="3">
        <v>10</v>
      </c>
      <c r="E98" s="9">
        <f t="shared" si="1"/>
        <v>46032</v>
      </c>
      <c r="F98" s="8"/>
      <c r="G98" s="8"/>
      <c r="H98" s="24"/>
      <c r="I98" s="7"/>
      <c r="J98" s="10"/>
    </row>
    <row r="99" spans="4:12" x14ac:dyDescent="0.3">
      <c r="D99" s="3">
        <v>10</v>
      </c>
      <c r="E99" s="9">
        <f t="shared" si="1"/>
        <v>46032</v>
      </c>
      <c r="F99" s="8"/>
      <c r="G99" s="8"/>
      <c r="H99" s="24"/>
      <c r="I99" s="7"/>
      <c r="J99" s="10"/>
    </row>
    <row r="100" spans="4:12" x14ac:dyDescent="0.3">
      <c r="D100" s="3">
        <v>10</v>
      </c>
      <c r="E100" s="9">
        <f t="shared" si="1"/>
        <v>46032</v>
      </c>
      <c r="F100" s="8"/>
      <c r="G100" s="8"/>
      <c r="H100" s="24"/>
      <c r="I100" s="7"/>
      <c r="J100" s="10"/>
    </row>
    <row r="101" spans="4:12" x14ac:dyDescent="0.3">
      <c r="D101" s="3">
        <v>10</v>
      </c>
      <c r="E101" s="9">
        <f t="shared" si="1"/>
        <v>46032</v>
      </c>
      <c r="F101" s="8"/>
      <c r="G101" s="8"/>
      <c r="H101" s="24"/>
      <c r="I101" s="7"/>
      <c r="J101" s="10"/>
    </row>
    <row r="102" spans="4:12" x14ac:dyDescent="0.3">
      <c r="D102" s="3">
        <v>10</v>
      </c>
      <c r="E102" s="19">
        <f t="shared" si="1"/>
        <v>46032</v>
      </c>
      <c r="F102" s="20"/>
      <c r="G102" s="20"/>
      <c r="H102" s="25"/>
      <c r="I102" s="21"/>
      <c r="J102" s="22"/>
    </row>
    <row r="103" spans="4:12" x14ac:dyDescent="0.3">
      <c r="D103" s="3">
        <v>11</v>
      </c>
      <c r="E103" s="15">
        <f t="shared" si="1"/>
        <v>46033</v>
      </c>
      <c r="F103" s="16"/>
      <c r="G103" s="16"/>
      <c r="H103" s="23"/>
      <c r="I103" s="17"/>
      <c r="J103" s="18"/>
    </row>
    <row r="104" spans="4:12" x14ac:dyDescent="0.3">
      <c r="D104" s="3">
        <v>11</v>
      </c>
      <c r="E104" s="9">
        <f t="shared" si="1"/>
        <v>46033</v>
      </c>
      <c r="F104" s="8"/>
      <c r="G104" s="8"/>
      <c r="H104" s="24"/>
      <c r="I104" s="7"/>
      <c r="J104" s="10"/>
      <c r="L104" s="36"/>
    </row>
    <row r="105" spans="4:12" x14ac:dyDescent="0.3">
      <c r="D105" s="3">
        <v>11</v>
      </c>
      <c r="E105" s="9">
        <f t="shared" si="1"/>
        <v>46033</v>
      </c>
      <c r="F105" s="8"/>
      <c r="G105" s="8"/>
      <c r="H105" s="24"/>
      <c r="I105" s="7"/>
      <c r="J105" s="10"/>
    </row>
    <row r="106" spans="4:12" x14ac:dyDescent="0.3">
      <c r="D106" s="3">
        <v>11</v>
      </c>
      <c r="E106" s="9">
        <f t="shared" si="1"/>
        <v>46033</v>
      </c>
      <c r="F106" s="8"/>
      <c r="G106" s="8"/>
      <c r="H106" s="24"/>
      <c r="I106" s="7"/>
      <c r="J106" s="10"/>
    </row>
    <row r="107" spans="4:12" x14ac:dyDescent="0.3">
      <c r="D107" s="3">
        <v>11</v>
      </c>
      <c r="E107" s="9">
        <f t="shared" si="1"/>
        <v>46033</v>
      </c>
      <c r="F107" s="8"/>
      <c r="G107" s="8"/>
      <c r="H107" s="24"/>
      <c r="I107" s="7"/>
      <c r="J107" s="10"/>
    </row>
    <row r="108" spans="4:12" x14ac:dyDescent="0.3">
      <c r="D108" s="3">
        <v>11</v>
      </c>
      <c r="E108" s="9">
        <f t="shared" si="1"/>
        <v>46033</v>
      </c>
      <c r="F108" s="8"/>
      <c r="G108" s="8"/>
      <c r="H108" s="24"/>
      <c r="I108" s="7"/>
      <c r="J108" s="10"/>
    </row>
    <row r="109" spans="4:12" x14ac:dyDescent="0.3">
      <c r="D109" s="3">
        <v>11</v>
      </c>
      <c r="E109" s="9">
        <f t="shared" si="1"/>
        <v>46033</v>
      </c>
      <c r="F109" s="8"/>
      <c r="G109" s="8"/>
      <c r="H109" s="24"/>
      <c r="I109" s="7"/>
      <c r="J109" s="10"/>
    </row>
    <row r="110" spans="4:12" x14ac:dyDescent="0.3">
      <c r="D110" s="3">
        <v>11</v>
      </c>
      <c r="E110" s="9">
        <f t="shared" si="1"/>
        <v>46033</v>
      </c>
      <c r="F110" s="8"/>
      <c r="G110" s="8"/>
      <c r="H110" s="24"/>
      <c r="I110" s="7"/>
      <c r="J110" s="10"/>
    </row>
    <row r="111" spans="4:12" x14ac:dyDescent="0.3">
      <c r="D111" s="3">
        <v>11</v>
      </c>
      <c r="E111" s="9">
        <f t="shared" si="1"/>
        <v>46033</v>
      </c>
      <c r="F111" s="8"/>
      <c r="G111" s="8"/>
      <c r="H111" s="24"/>
      <c r="I111" s="7"/>
      <c r="J111" s="10"/>
    </row>
    <row r="112" spans="4:12" x14ac:dyDescent="0.3">
      <c r="D112" s="3">
        <v>11</v>
      </c>
      <c r="E112" s="19">
        <f t="shared" si="1"/>
        <v>46033</v>
      </c>
      <c r="F112" s="20"/>
      <c r="G112" s="20"/>
      <c r="H112" s="25"/>
      <c r="I112" s="21"/>
      <c r="J112" s="22"/>
    </row>
    <row r="113" spans="4:13" x14ac:dyDescent="0.3">
      <c r="D113" s="3">
        <v>12</v>
      </c>
      <c r="E113" s="15">
        <f t="shared" si="1"/>
        <v>46034</v>
      </c>
      <c r="F113" s="16"/>
      <c r="G113" s="16"/>
      <c r="H113" s="23"/>
      <c r="I113" s="17"/>
      <c r="J113" s="18"/>
      <c r="L113" s="36"/>
      <c r="M113" s="36"/>
    </row>
    <row r="114" spans="4:13" x14ac:dyDescent="0.3">
      <c r="D114" s="3">
        <v>12</v>
      </c>
      <c r="E114" s="9">
        <f t="shared" si="1"/>
        <v>46034</v>
      </c>
      <c r="F114" s="8"/>
      <c r="G114" s="8"/>
      <c r="H114" s="24"/>
      <c r="I114" s="7"/>
      <c r="J114" s="10"/>
      <c r="L114" s="36"/>
    </row>
    <row r="115" spans="4:13" x14ac:dyDescent="0.3">
      <c r="D115" s="3">
        <v>12</v>
      </c>
      <c r="E115" s="9">
        <f t="shared" si="1"/>
        <v>46034</v>
      </c>
      <c r="F115" s="8"/>
      <c r="G115" s="8"/>
      <c r="H115" s="24"/>
      <c r="I115" s="7"/>
      <c r="J115" s="10"/>
      <c r="L115" s="36"/>
    </row>
    <row r="116" spans="4:13" x14ac:dyDescent="0.3">
      <c r="D116" s="3">
        <v>12</v>
      </c>
      <c r="E116" s="9">
        <f t="shared" si="1"/>
        <v>46034</v>
      </c>
      <c r="F116" s="8"/>
      <c r="G116" s="8"/>
      <c r="H116" s="24"/>
      <c r="I116" s="7"/>
      <c r="J116" s="10"/>
    </row>
    <row r="117" spans="4:13" x14ac:dyDescent="0.3">
      <c r="D117" s="3">
        <v>12</v>
      </c>
      <c r="E117" s="9">
        <f t="shared" si="1"/>
        <v>46034</v>
      </c>
      <c r="F117" s="8"/>
      <c r="G117" s="8"/>
      <c r="H117" s="24"/>
      <c r="I117" s="7"/>
      <c r="J117" s="10"/>
    </row>
    <row r="118" spans="4:13" x14ac:dyDescent="0.3">
      <c r="D118" s="3">
        <v>12</v>
      </c>
      <c r="E118" s="9">
        <f t="shared" si="1"/>
        <v>46034</v>
      </c>
      <c r="F118" s="8"/>
      <c r="G118" s="8"/>
      <c r="H118" s="24"/>
      <c r="I118" s="7"/>
      <c r="J118" s="10"/>
    </row>
    <row r="119" spans="4:13" x14ac:dyDescent="0.3">
      <c r="D119" s="3">
        <v>12</v>
      </c>
      <c r="E119" s="9">
        <f t="shared" si="1"/>
        <v>46034</v>
      </c>
      <c r="F119" s="8"/>
      <c r="G119" s="8"/>
      <c r="H119" s="24"/>
      <c r="I119" s="7"/>
      <c r="J119" s="10"/>
    </row>
    <row r="120" spans="4:13" x14ac:dyDescent="0.3">
      <c r="D120" s="3">
        <v>12</v>
      </c>
      <c r="E120" s="9">
        <f t="shared" si="1"/>
        <v>46034</v>
      </c>
      <c r="F120" s="8"/>
      <c r="G120" s="8"/>
      <c r="H120" s="24"/>
      <c r="I120" s="7"/>
      <c r="J120" s="10"/>
    </row>
    <row r="121" spans="4:13" x14ac:dyDescent="0.3">
      <c r="D121" s="3">
        <v>12</v>
      </c>
      <c r="E121" s="9">
        <f t="shared" si="1"/>
        <v>46034</v>
      </c>
      <c r="F121" s="8"/>
      <c r="G121" s="8"/>
      <c r="H121" s="24"/>
      <c r="I121" s="7"/>
      <c r="J121" s="10"/>
    </row>
    <row r="122" spans="4:13" x14ac:dyDescent="0.3">
      <c r="D122" s="3">
        <v>12</v>
      </c>
      <c r="E122" s="19">
        <f t="shared" si="1"/>
        <v>46034</v>
      </c>
      <c r="F122" s="20"/>
      <c r="G122" s="20"/>
      <c r="H122" s="25"/>
      <c r="I122" s="21"/>
      <c r="J122" s="22"/>
    </row>
    <row r="123" spans="4:13" x14ac:dyDescent="0.3">
      <c r="D123" s="3">
        <v>13</v>
      </c>
      <c r="E123" s="15">
        <f t="shared" si="1"/>
        <v>46035</v>
      </c>
      <c r="F123" s="16"/>
      <c r="G123" s="16"/>
      <c r="H123" s="23"/>
      <c r="I123" s="17"/>
      <c r="J123" s="18"/>
    </row>
    <row r="124" spans="4:13" x14ac:dyDescent="0.3">
      <c r="D124" s="3">
        <v>13</v>
      </c>
      <c r="E124" s="9">
        <f t="shared" si="1"/>
        <v>46035</v>
      </c>
      <c r="F124" s="8"/>
      <c r="G124" s="8"/>
      <c r="H124" s="24"/>
      <c r="I124" s="7"/>
      <c r="J124" s="10"/>
    </row>
    <row r="125" spans="4:13" x14ac:dyDescent="0.3">
      <c r="D125" s="3">
        <v>13</v>
      </c>
      <c r="E125" s="9">
        <f t="shared" si="1"/>
        <v>46035</v>
      </c>
      <c r="F125" s="8"/>
      <c r="G125" s="8"/>
      <c r="H125" s="24"/>
      <c r="I125" s="7"/>
      <c r="J125" s="10"/>
    </row>
    <row r="126" spans="4:13" x14ac:dyDescent="0.3">
      <c r="D126" s="3">
        <v>13</v>
      </c>
      <c r="E126" s="9">
        <f t="shared" si="1"/>
        <v>46035</v>
      </c>
      <c r="F126" s="8"/>
      <c r="G126" s="8"/>
      <c r="H126" s="24"/>
      <c r="I126" s="7"/>
      <c r="J126" s="10"/>
    </row>
    <row r="127" spans="4:13" x14ac:dyDescent="0.3">
      <c r="D127" s="3">
        <v>13</v>
      </c>
      <c r="E127" s="9">
        <f t="shared" si="1"/>
        <v>46035</v>
      </c>
      <c r="F127" s="8"/>
      <c r="G127" s="8"/>
      <c r="H127" s="24"/>
      <c r="I127" s="7"/>
      <c r="J127" s="10"/>
    </row>
    <row r="128" spans="4:13" x14ac:dyDescent="0.3">
      <c r="D128" s="3">
        <v>13</v>
      </c>
      <c r="E128" s="9">
        <f t="shared" si="1"/>
        <v>46035</v>
      </c>
      <c r="F128" s="8"/>
      <c r="G128" s="8"/>
      <c r="H128" s="24"/>
      <c r="I128" s="7"/>
      <c r="J128" s="10"/>
    </row>
    <row r="129" spans="4:10" x14ac:dyDescent="0.3">
      <c r="D129" s="3">
        <v>13</v>
      </c>
      <c r="E129" s="9">
        <f t="shared" si="1"/>
        <v>46035</v>
      </c>
      <c r="F129" s="8"/>
      <c r="G129" s="8"/>
      <c r="H129" s="24"/>
      <c r="I129" s="7"/>
      <c r="J129" s="10"/>
    </row>
    <row r="130" spans="4:10" x14ac:dyDescent="0.3">
      <c r="D130" s="3">
        <v>13</v>
      </c>
      <c r="E130" s="9">
        <f t="shared" si="1"/>
        <v>46035</v>
      </c>
      <c r="F130" s="8"/>
      <c r="G130" s="8"/>
      <c r="H130" s="24"/>
      <c r="I130" s="7"/>
      <c r="J130" s="10"/>
    </row>
    <row r="131" spans="4:10" x14ac:dyDescent="0.3">
      <c r="D131" s="3">
        <v>13</v>
      </c>
      <c r="E131" s="9">
        <f t="shared" si="1"/>
        <v>46035</v>
      </c>
      <c r="F131" s="8"/>
      <c r="G131" s="8"/>
      <c r="H131" s="24"/>
      <c r="I131" s="7"/>
      <c r="J131" s="10"/>
    </row>
    <row r="132" spans="4:10" x14ac:dyDescent="0.3">
      <c r="D132" s="3">
        <v>13</v>
      </c>
      <c r="E132" s="19">
        <f t="shared" ref="E132:E195" si="2">DATE($B$1,$B$2,$D132)</f>
        <v>46035</v>
      </c>
      <c r="F132" s="20"/>
      <c r="G132" s="20"/>
      <c r="H132" s="25"/>
      <c r="I132" s="21"/>
      <c r="J132" s="22"/>
    </row>
    <row r="133" spans="4:10" x14ac:dyDescent="0.3">
      <c r="D133" s="3">
        <v>14</v>
      </c>
      <c r="E133" s="15">
        <f t="shared" si="2"/>
        <v>46036</v>
      </c>
      <c r="F133" s="16"/>
      <c r="G133" s="16"/>
      <c r="H133" s="23"/>
      <c r="I133" s="17"/>
      <c r="J133" s="18"/>
    </row>
    <row r="134" spans="4:10" x14ac:dyDescent="0.3">
      <c r="D134" s="3">
        <v>14</v>
      </c>
      <c r="E134" s="9">
        <f t="shared" si="2"/>
        <v>46036</v>
      </c>
      <c r="F134" s="8"/>
      <c r="G134" s="8"/>
      <c r="H134" s="24"/>
      <c r="I134" s="7"/>
      <c r="J134" s="10"/>
    </row>
    <row r="135" spans="4:10" x14ac:dyDescent="0.3">
      <c r="D135" s="3">
        <v>14</v>
      </c>
      <c r="E135" s="9">
        <f t="shared" si="2"/>
        <v>46036</v>
      </c>
      <c r="F135" s="8"/>
      <c r="G135" s="8"/>
      <c r="H135" s="24"/>
      <c r="I135" s="7"/>
      <c r="J135" s="10"/>
    </row>
    <row r="136" spans="4:10" x14ac:dyDescent="0.3">
      <c r="D136" s="3">
        <v>14</v>
      </c>
      <c r="E136" s="9">
        <f t="shared" si="2"/>
        <v>46036</v>
      </c>
      <c r="F136" s="8"/>
      <c r="G136" s="8"/>
      <c r="H136" s="24"/>
      <c r="I136" s="7"/>
      <c r="J136" s="10"/>
    </row>
    <row r="137" spans="4:10" x14ac:dyDescent="0.3">
      <c r="D137" s="3">
        <v>14</v>
      </c>
      <c r="E137" s="9">
        <f t="shared" si="2"/>
        <v>46036</v>
      </c>
      <c r="F137" s="8"/>
      <c r="G137" s="8"/>
      <c r="H137" s="24"/>
      <c r="I137" s="7"/>
      <c r="J137" s="10"/>
    </row>
    <row r="138" spans="4:10" x14ac:dyDescent="0.3">
      <c r="D138" s="3">
        <v>14</v>
      </c>
      <c r="E138" s="9">
        <f t="shared" si="2"/>
        <v>46036</v>
      </c>
      <c r="F138" s="8"/>
      <c r="G138" s="8"/>
      <c r="H138" s="24"/>
      <c r="I138" s="7"/>
      <c r="J138" s="10"/>
    </row>
    <row r="139" spans="4:10" x14ac:dyDescent="0.3">
      <c r="D139" s="3">
        <v>14</v>
      </c>
      <c r="E139" s="9">
        <f t="shared" si="2"/>
        <v>46036</v>
      </c>
      <c r="F139" s="8"/>
      <c r="G139" s="8"/>
      <c r="H139" s="24"/>
      <c r="I139" s="7"/>
      <c r="J139" s="10"/>
    </row>
    <row r="140" spans="4:10" x14ac:dyDescent="0.3">
      <c r="D140" s="3">
        <v>14</v>
      </c>
      <c r="E140" s="9">
        <f t="shared" si="2"/>
        <v>46036</v>
      </c>
      <c r="F140" s="8"/>
      <c r="G140" s="8"/>
      <c r="H140" s="24"/>
      <c r="I140" s="7"/>
      <c r="J140" s="10"/>
    </row>
    <row r="141" spans="4:10" x14ac:dyDescent="0.3">
      <c r="D141" s="3">
        <v>14</v>
      </c>
      <c r="E141" s="9">
        <f t="shared" si="2"/>
        <v>46036</v>
      </c>
      <c r="F141" s="8"/>
      <c r="G141" s="8"/>
      <c r="H141" s="24"/>
      <c r="I141" s="7"/>
      <c r="J141" s="10"/>
    </row>
    <row r="142" spans="4:10" x14ac:dyDescent="0.3">
      <c r="D142" s="3">
        <v>14</v>
      </c>
      <c r="E142" s="19">
        <f t="shared" si="2"/>
        <v>46036</v>
      </c>
      <c r="F142" s="20"/>
      <c r="G142" s="20"/>
      <c r="H142" s="25"/>
      <c r="I142" s="21"/>
      <c r="J142" s="22"/>
    </row>
    <row r="143" spans="4:10" x14ac:dyDescent="0.3">
      <c r="D143" s="3">
        <v>15</v>
      </c>
      <c r="E143" s="15">
        <f t="shared" si="2"/>
        <v>46037</v>
      </c>
      <c r="F143" s="16"/>
      <c r="G143" s="16"/>
      <c r="H143" s="23"/>
      <c r="I143" s="17"/>
      <c r="J143" s="18"/>
    </row>
    <row r="144" spans="4:10" x14ac:dyDescent="0.3">
      <c r="D144" s="3">
        <v>15</v>
      </c>
      <c r="E144" s="9">
        <f t="shared" si="2"/>
        <v>46037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46037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46037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46037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46037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46037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46037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46037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46037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46038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46038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46038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46038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46038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46038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46038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46038</v>
      </c>
      <c r="F160" s="8"/>
      <c r="G160" s="8"/>
      <c r="H160" s="24"/>
      <c r="I160" s="7"/>
      <c r="J160" s="10"/>
    </row>
    <row r="161" spans="4:10" x14ac:dyDescent="0.3">
      <c r="D161" s="3">
        <v>16</v>
      </c>
      <c r="E161" s="9">
        <f t="shared" si="2"/>
        <v>46038</v>
      </c>
      <c r="F161" s="8"/>
      <c r="G161" s="8"/>
      <c r="H161" s="24"/>
      <c r="I161" s="7"/>
      <c r="J161" s="10"/>
    </row>
    <row r="162" spans="4:10" x14ac:dyDescent="0.3">
      <c r="D162" s="3">
        <v>16</v>
      </c>
      <c r="E162" s="19">
        <f t="shared" si="2"/>
        <v>46038</v>
      </c>
      <c r="F162" s="20"/>
      <c r="G162" s="20"/>
      <c r="H162" s="25"/>
      <c r="I162" s="21"/>
      <c r="J162" s="22"/>
    </row>
    <row r="163" spans="4:10" x14ac:dyDescent="0.3">
      <c r="D163" s="3">
        <v>17</v>
      </c>
      <c r="E163" s="15">
        <f t="shared" si="2"/>
        <v>46039</v>
      </c>
      <c r="F163" s="16"/>
      <c r="G163" s="16"/>
      <c r="H163" s="23"/>
      <c r="I163" s="17"/>
      <c r="J163" s="18"/>
    </row>
    <row r="164" spans="4:10" x14ac:dyDescent="0.3">
      <c r="D164" s="3">
        <v>17</v>
      </c>
      <c r="E164" s="9">
        <f t="shared" si="2"/>
        <v>46039</v>
      </c>
      <c r="F164" s="8"/>
      <c r="G164" s="8"/>
      <c r="H164" s="24"/>
      <c r="I164" s="7"/>
      <c r="J164" s="10"/>
    </row>
    <row r="165" spans="4:10" x14ac:dyDescent="0.3">
      <c r="D165" s="3">
        <v>17</v>
      </c>
      <c r="E165" s="9">
        <f t="shared" si="2"/>
        <v>46039</v>
      </c>
      <c r="F165" s="8"/>
      <c r="G165" s="8"/>
      <c r="H165" s="24"/>
      <c r="I165" s="7"/>
      <c r="J165" s="10"/>
    </row>
    <row r="166" spans="4:10" x14ac:dyDescent="0.3">
      <c r="D166" s="3">
        <v>17</v>
      </c>
      <c r="E166" s="9">
        <f t="shared" si="2"/>
        <v>46039</v>
      </c>
      <c r="F166" s="8"/>
      <c r="G166" s="8"/>
      <c r="H166" s="24"/>
      <c r="I166" s="7"/>
      <c r="J166" s="10"/>
    </row>
    <row r="167" spans="4:10" x14ac:dyDescent="0.3">
      <c r="D167" s="3">
        <v>17</v>
      </c>
      <c r="E167" s="9">
        <f t="shared" si="2"/>
        <v>46039</v>
      </c>
      <c r="F167" s="8"/>
      <c r="G167" s="8"/>
      <c r="H167" s="24"/>
      <c r="I167" s="7"/>
      <c r="J167" s="10"/>
    </row>
    <row r="168" spans="4:10" x14ac:dyDescent="0.3">
      <c r="D168" s="3">
        <v>17</v>
      </c>
      <c r="E168" s="9">
        <f t="shared" si="2"/>
        <v>46039</v>
      </c>
      <c r="F168" s="8"/>
      <c r="G168" s="8"/>
      <c r="H168" s="24"/>
      <c r="I168" s="7"/>
      <c r="J168" s="10"/>
    </row>
    <row r="169" spans="4:10" x14ac:dyDescent="0.3">
      <c r="D169" s="3">
        <v>17</v>
      </c>
      <c r="E169" s="9">
        <f t="shared" si="2"/>
        <v>46039</v>
      </c>
      <c r="F169" s="8"/>
      <c r="G169" s="8"/>
      <c r="H169" s="24"/>
      <c r="I169" s="7"/>
      <c r="J169" s="10"/>
    </row>
    <row r="170" spans="4:10" x14ac:dyDescent="0.3">
      <c r="D170" s="3">
        <v>17</v>
      </c>
      <c r="E170" s="9">
        <f t="shared" si="2"/>
        <v>46039</v>
      </c>
      <c r="F170" s="8"/>
      <c r="G170" s="8"/>
      <c r="H170" s="24"/>
      <c r="I170" s="7"/>
      <c r="J170" s="10"/>
    </row>
    <row r="171" spans="4:10" x14ac:dyDescent="0.3">
      <c r="D171" s="3">
        <v>17</v>
      </c>
      <c r="E171" s="9">
        <f t="shared" si="2"/>
        <v>46039</v>
      </c>
      <c r="F171" s="8"/>
      <c r="G171" s="8"/>
      <c r="H171" s="24"/>
      <c r="I171" s="7"/>
      <c r="J171" s="10"/>
    </row>
    <row r="172" spans="4:10" x14ac:dyDescent="0.3">
      <c r="D172" s="3">
        <v>17</v>
      </c>
      <c r="E172" s="19">
        <f t="shared" si="2"/>
        <v>46039</v>
      </c>
      <c r="F172" s="20"/>
      <c r="G172" s="20"/>
      <c r="H172" s="25"/>
      <c r="I172" s="21"/>
      <c r="J172" s="22"/>
    </row>
    <row r="173" spans="4:10" x14ac:dyDescent="0.3">
      <c r="D173" s="3">
        <v>18</v>
      </c>
      <c r="E173" s="15">
        <f t="shared" si="2"/>
        <v>46040</v>
      </c>
      <c r="F173" s="16"/>
      <c r="G173" s="16"/>
      <c r="H173" s="23"/>
      <c r="I173" s="17"/>
      <c r="J173" s="18"/>
    </row>
    <row r="174" spans="4:10" x14ac:dyDescent="0.3">
      <c r="D174" s="3">
        <v>18</v>
      </c>
      <c r="E174" s="9">
        <f t="shared" si="2"/>
        <v>46040</v>
      </c>
      <c r="F174" s="8"/>
      <c r="G174" s="8"/>
      <c r="H174" s="24"/>
      <c r="I174" s="7"/>
      <c r="J174" s="10"/>
    </row>
    <row r="175" spans="4:10" x14ac:dyDescent="0.3">
      <c r="D175" s="3">
        <v>18</v>
      </c>
      <c r="E175" s="9">
        <f t="shared" si="2"/>
        <v>46040</v>
      </c>
      <c r="F175" s="8"/>
      <c r="G175" s="8"/>
      <c r="H175" s="24"/>
      <c r="I175" s="7"/>
      <c r="J175" s="10"/>
    </row>
    <row r="176" spans="4:10" x14ac:dyDescent="0.3">
      <c r="D176" s="3">
        <v>18</v>
      </c>
      <c r="E176" s="9">
        <f t="shared" si="2"/>
        <v>46040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46040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46040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46040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46040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46040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46040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46041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46041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46041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46041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46041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46041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46041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46041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46041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46041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46042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46042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46042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46042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46042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46042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46042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46042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46042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46042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46043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46043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46043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46043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46043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46043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46043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46043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46043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46043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46044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46044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46044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46044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46044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46044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46044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46044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46044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46044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46045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46045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46045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46045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46045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46045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46045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46045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46045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46045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46046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46046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46046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46046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46046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46046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46046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46046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46046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46046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46047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46047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46047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46047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46047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46047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46047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46047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46047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46047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46048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46048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46048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46048</v>
      </c>
      <c r="F256" s="8"/>
      <c r="G256" s="8"/>
      <c r="H256" s="24"/>
      <c r="I256" s="7"/>
      <c r="J256" s="10"/>
    </row>
    <row r="257" spans="4:10" x14ac:dyDescent="0.3">
      <c r="D257" s="3">
        <v>26</v>
      </c>
      <c r="E257" s="9">
        <f t="shared" si="3"/>
        <v>46048</v>
      </c>
      <c r="F257" s="8"/>
      <c r="G257" s="8"/>
      <c r="H257" s="24"/>
      <c r="I257" s="7"/>
      <c r="J257" s="10"/>
    </row>
    <row r="258" spans="4:10" x14ac:dyDescent="0.3">
      <c r="D258" s="3">
        <v>26</v>
      </c>
      <c r="E258" s="9">
        <f t="shared" si="3"/>
        <v>46048</v>
      </c>
      <c r="F258" s="8"/>
      <c r="G258" s="8"/>
      <c r="H258" s="24"/>
      <c r="I258" s="7"/>
      <c r="J258" s="10"/>
    </row>
    <row r="259" spans="4:10" x14ac:dyDescent="0.3">
      <c r="D259" s="3">
        <v>26</v>
      </c>
      <c r="E259" s="9">
        <f t="shared" si="3"/>
        <v>46048</v>
      </c>
      <c r="F259" s="8"/>
      <c r="G259" s="8"/>
      <c r="H259" s="24"/>
      <c r="I259" s="7"/>
      <c r="J259" s="10"/>
    </row>
    <row r="260" spans="4:10" x14ac:dyDescent="0.3">
      <c r="D260" s="3">
        <v>26</v>
      </c>
      <c r="E260" s="9">
        <f t="shared" ref="E260:E312" si="4">DATE($B$1,$B$2,$D260)</f>
        <v>46048</v>
      </c>
      <c r="F260" s="8"/>
      <c r="G260" s="8"/>
      <c r="H260" s="24"/>
      <c r="I260" s="7"/>
      <c r="J260" s="10"/>
    </row>
    <row r="261" spans="4:10" x14ac:dyDescent="0.3">
      <c r="D261" s="3">
        <v>26</v>
      </c>
      <c r="E261" s="9">
        <f t="shared" si="4"/>
        <v>46048</v>
      </c>
      <c r="F261" s="8"/>
      <c r="G261" s="8"/>
      <c r="H261" s="24"/>
      <c r="I261" s="7"/>
      <c r="J261" s="10"/>
    </row>
    <row r="262" spans="4:10" x14ac:dyDescent="0.3">
      <c r="D262" s="3">
        <v>26</v>
      </c>
      <c r="E262" s="19">
        <f t="shared" si="4"/>
        <v>46048</v>
      </c>
      <c r="F262" s="20"/>
      <c r="G262" s="20"/>
      <c r="H262" s="25"/>
      <c r="I262" s="21"/>
      <c r="J262" s="22"/>
    </row>
    <row r="263" spans="4:10" x14ac:dyDescent="0.3">
      <c r="D263" s="3">
        <v>27</v>
      </c>
      <c r="E263" s="15">
        <f t="shared" si="4"/>
        <v>46049</v>
      </c>
      <c r="F263" s="16"/>
      <c r="G263" s="16"/>
      <c r="H263" s="23"/>
      <c r="I263" s="17"/>
      <c r="J263" s="18"/>
    </row>
    <row r="264" spans="4:10" x14ac:dyDescent="0.3">
      <c r="D264" s="3">
        <v>27</v>
      </c>
      <c r="E264" s="9">
        <f t="shared" si="4"/>
        <v>46049</v>
      </c>
      <c r="F264" s="8"/>
      <c r="G264" s="8"/>
      <c r="H264" s="24"/>
      <c r="I264" s="7"/>
      <c r="J264" s="10"/>
    </row>
    <row r="265" spans="4:10" x14ac:dyDescent="0.3">
      <c r="D265" s="3">
        <v>27</v>
      </c>
      <c r="E265" s="9">
        <f t="shared" si="4"/>
        <v>46049</v>
      </c>
      <c r="F265" s="8"/>
      <c r="G265" s="8"/>
      <c r="H265" s="24"/>
      <c r="I265" s="7"/>
      <c r="J265" s="10"/>
    </row>
    <row r="266" spans="4:10" x14ac:dyDescent="0.3">
      <c r="D266" s="3">
        <v>27</v>
      </c>
      <c r="E266" s="9">
        <f t="shared" si="4"/>
        <v>46049</v>
      </c>
      <c r="F266" s="8"/>
      <c r="G266" s="8"/>
      <c r="H266" s="24"/>
      <c r="I266" s="7"/>
      <c r="J266" s="10"/>
    </row>
    <row r="267" spans="4:10" x14ac:dyDescent="0.3">
      <c r="D267" s="3">
        <v>27</v>
      </c>
      <c r="E267" s="9">
        <f t="shared" si="4"/>
        <v>46049</v>
      </c>
      <c r="F267" s="8"/>
      <c r="G267" s="8"/>
      <c r="H267" s="24"/>
      <c r="I267" s="7"/>
      <c r="J267" s="10"/>
    </row>
    <row r="268" spans="4:10" x14ac:dyDescent="0.3">
      <c r="D268" s="3">
        <v>27</v>
      </c>
      <c r="E268" s="9">
        <f t="shared" si="4"/>
        <v>46049</v>
      </c>
      <c r="F268" s="8"/>
      <c r="G268" s="8"/>
      <c r="H268" s="24"/>
      <c r="I268" s="7"/>
      <c r="J268" s="10"/>
    </row>
    <row r="269" spans="4:10" x14ac:dyDescent="0.3">
      <c r="D269" s="3">
        <v>27</v>
      </c>
      <c r="E269" s="9">
        <f t="shared" si="4"/>
        <v>46049</v>
      </c>
      <c r="F269" s="8"/>
      <c r="G269" s="8"/>
      <c r="H269" s="24"/>
      <c r="I269" s="7"/>
      <c r="J269" s="10"/>
    </row>
    <row r="270" spans="4:10" x14ac:dyDescent="0.3">
      <c r="D270" s="3">
        <v>27</v>
      </c>
      <c r="E270" s="9">
        <f t="shared" si="4"/>
        <v>46049</v>
      </c>
      <c r="F270" s="8"/>
      <c r="G270" s="8"/>
      <c r="H270" s="24"/>
      <c r="I270" s="7"/>
      <c r="J270" s="10"/>
    </row>
    <row r="271" spans="4:10" x14ac:dyDescent="0.3">
      <c r="D271" s="3">
        <v>27</v>
      </c>
      <c r="E271" s="9">
        <f t="shared" si="4"/>
        <v>46049</v>
      </c>
      <c r="F271" s="8"/>
      <c r="G271" s="8"/>
      <c r="H271" s="24"/>
      <c r="I271" s="7"/>
      <c r="J271" s="10"/>
    </row>
    <row r="272" spans="4:10" x14ac:dyDescent="0.3">
      <c r="D272" s="3">
        <v>27</v>
      </c>
      <c r="E272" s="19">
        <f t="shared" si="4"/>
        <v>46049</v>
      </c>
      <c r="F272" s="20"/>
      <c r="G272" s="20"/>
      <c r="H272" s="25"/>
      <c r="I272" s="21"/>
      <c r="J272" s="22"/>
    </row>
    <row r="273" spans="4:10" x14ac:dyDescent="0.3">
      <c r="D273" s="3">
        <v>28</v>
      </c>
      <c r="E273" s="15">
        <f t="shared" si="4"/>
        <v>46050</v>
      </c>
      <c r="F273" s="16"/>
      <c r="G273" s="16"/>
      <c r="H273" s="23"/>
      <c r="I273" s="17"/>
      <c r="J273" s="18"/>
    </row>
    <row r="274" spans="4:10" x14ac:dyDescent="0.3">
      <c r="D274" s="3">
        <v>28</v>
      </c>
      <c r="E274" s="9">
        <f t="shared" si="4"/>
        <v>46050</v>
      </c>
      <c r="F274" s="8"/>
      <c r="G274" s="8"/>
      <c r="H274" s="24"/>
      <c r="I274" s="7"/>
      <c r="J274" s="10"/>
    </row>
    <row r="275" spans="4:10" x14ac:dyDescent="0.3">
      <c r="D275" s="3">
        <v>28</v>
      </c>
      <c r="E275" s="9">
        <f t="shared" si="4"/>
        <v>46050</v>
      </c>
      <c r="F275" s="8"/>
      <c r="G275" s="8"/>
      <c r="H275" s="24"/>
      <c r="I275" s="7"/>
      <c r="J275" s="10"/>
    </row>
    <row r="276" spans="4:10" x14ac:dyDescent="0.3">
      <c r="D276" s="3">
        <v>28</v>
      </c>
      <c r="E276" s="9">
        <f t="shared" si="4"/>
        <v>46050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46050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46050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46050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46050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46050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19">
        <f t="shared" si="4"/>
        <v>46050</v>
      </c>
      <c r="F282" s="20"/>
      <c r="G282" s="20"/>
      <c r="H282" s="25"/>
      <c r="I282" s="21"/>
      <c r="J282" s="22"/>
    </row>
    <row r="283" spans="4:10" x14ac:dyDescent="0.3">
      <c r="D283" s="3">
        <v>29</v>
      </c>
      <c r="E283" s="15">
        <f t="shared" si="4"/>
        <v>46051</v>
      </c>
      <c r="F283" s="16"/>
      <c r="G283" s="16"/>
      <c r="H283" s="23"/>
      <c r="I283" s="17"/>
      <c r="J283" s="18"/>
    </row>
    <row r="284" spans="4:10" x14ac:dyDescent="0.3">
      <c r="D284" s="3">
        <v>29</v>
      </c>
      <c r="E284" s="9">
        <f t="shared" si="4"/>
        <v>46051</v>
      </c>
      <c r="F284" s="8"/>
      <c r="G284" s="8"/>
      <c r="H284" s="24"/>
      <c r="I284" s="7"/>
      <c r="J284" s="10"/>
    </row>
    <row r="285" spans="4:10" x14ac:dyDescent="0.3">
      <c r="D285" s="3">
        <v>29</v>
      </c>
      <c r="E285" s="9">
        <f t="shared" si="4"/>
        <v>46051</v>
      </c>
      <c r="F285" s="8"/>
      <c r="G285" s="8"/>
      <c r="H285" s="24"/>
      <c r="I285" s="7"/>
      <c r="J285" s="10"/>
    </row>
    <row r="286" spans="4:10" x14ac:dyDescent="0.3">
      <c r="D286" s="3">
        <v>29</v>
      </c>
      <c r="E286" s="9">
        <f t="shared" si="4"/>
        <v>46051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46051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46051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46051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46051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46051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46051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46052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46052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46052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46052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46052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46052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46052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46052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46052</v>
      </c>
      <c r="F301" s="8"/>
      <c r="G301" s="8"/>
      <c r="H301" s="24"/>
      <c r="I301" s="7"/>
      <c r="J301" s="10"/>
    </row>
    <row r="302" spans="4:10" x14ac:dyDescent="0.3">
      <c r="D302" s="3">
        <v>30</v>
      </c>
      <c r="E302" s="19">
        <f t="shared" si="4"/>
        <v>46052</v>
      </c>
      <c r="F302" s="20"/>
      <c r="G302" s="20"/>
      <c r="H302" s="25"/>
      <c r="I302" s="21"/>
      <c r="J302" s="22"/>
    </row>
    <row r="303" spans="4:10" x14ac:dyDescent="0.3">
      <c r="D303" s="3">
        <v>31</v>
      </c>
      <c r="E303" s="15">
        <f t="shared" si="4"/>
        <v>46053</v>
      </c>
      <c r="F303" s="16"/>
      <c r="G303" s="16"/>
      <c r="H303" s="23"/>
      <c r="I303" s="17"/>
      <c r="J303" s="18"/>
    </row>
    <row r="304" spans="4:10" x14ac:dyDescent="0.3">
      <c r="D304" s="3">
        <v>31</v>
      </c>
      <c r="E304" s="9">
        <f t="shared" si="4"/>
        <v>46053</v>
      </c>
      <c r="F304" s="8"/>
      <c r="G304" s="8"/>
      <c r="H304" s="24"/>
      <c r="I304" s="7"/>
      <c r="J304" s="10"/>
    </row>
    <row r="305" spans="4:10" x14ac:dyDescent="0.3">
      <c r="D305" s="3">
        <v>31</v>
      </c>
      <c r="E305" s="9">
        <f t="shared" si="4"/>
        <v>46053</v>
      </c>
      <c r="F305" s="8"/>
      <c r="G305" s="8"/>
      <c r="H305" s="24"/>
      <c r="I305" s="7"/>
      <c r="J305" s="10"/>
    </row>
    <row r="306" spans="4:10" x14ac:dyDescent="0.3">
      <c r="D306" s="3">
        <v>31</v>
      </c>
      <c r="E306" s="9">
        <f t="shared" si="4"/>
        <v>46053</v>
      </c>
      <c r="F306" s="8"/>
      <c r="G306" s="8"/>
      <c r="H306" s="24"/>
      <c r="I306" s="7"/>
      <c r="J306" s="10"/>
    </row>
    <row r="307" spans="4:10" x14ac:dyDescent="0.3">
      <c r="D307" s="3">
        <v>31</v>
      </c>
      <c r="E307" s="9">
        <f t="shared" si="4"/>
        <v>46053</v>
      </c>
      <c r="F307" s="8"/>
      <c r="G307" s="8"/>
      <c r="H307" s="24"/>
      <c r="I307" s="7"/>
      <c r="J307" s="10"/>
    </row>
    <row r="308" spans="4:10" x14ac:dyDescent="0.3">
      <c r="D308" s="3">
        <v>31</v>
      </c>
      <c r="E308" s="9">
        <f t="shared" si="4"/>
        <v>46053</v>
      </c>
      <c r="F308" s="8"/>
      <c r="G308" s="8"/>
      <c r="H308" s="24"/>
      <c r="I308" s="7"/>
      <c r="J308" s="10"/>
    </row>
    <row r="309" spans="4:10" x14ac:dyDescent="0.3">
      <c r="D309" s="3">
        <v>31</v>
      </c>
      <c r="E309" s="9">
        <f t="shared" si="4"/>
        <v>46053</v>
      </c>
      <c r="F309" s="8"/>
      <c r="G309" s="8"/>
      <c r="H309" s="24"/>
      <c r="I309" s="7"/>
      <c r="J309" s="10"/>
    </row>
    <row r="310" spans="4:10" x14ac:dyDescent="0.3">
      <c r="D310" s="3">
        <v>31</v>
      </c>
      <c r="E310" s="9">
        <f t="shared" si="4"/>
        <v>46053</v>
      </c>
      <c r="F310" s="8"/>
      <c r="G310" s="8"/>
      <c r="H310" s="24"/>
      <c r="I310" s="7"/>
      <c r="J310" s="10"/>
    </row>
    <row r="311" spans="4:10" x14ac:dyDescent="0.3">
      <c r="D311" s="3">
        <v>31</v>
      </c>
      <c r="E311" s="9">
        <f t="shared" si="4"/>
        <v>46053</v>
      </c>
      <c r="F311" s="8"/>
      <c r="G311" s="8"/>
      <c r="H311" s="24"/>
      <c r="I311" s="7"/>
      <c r="J311" s="10"/>
    </row>
    <row r="312" spans="4:10" ht="14.25" thickBot="1" x14ac:dyDescent="0.35">
      <c r="D312" s="3">
        <v>31</v>
      </c>
      <c r="E312" s="11">
        <f t="shared" si="4"/>
        <v>46053</v>
      </c>
      <c r="F312" s="12"/>
      <c r="G312" s="12"/>
      <c r="H312" s="26"/>
      <c r="I312" s="13"/>
      <c r="J312" s="14"/>
    </row>
    <row r="313" spans="4:10" x14ac:dyDescent="0.3">
      <c r="F313" s="6"/>
      <c r="G313" s="6"/>
    </row>
    <row r="314" spans="4:10" x14ac:dyDescent="0.3">
      <c r="F314" s="6"/>
      <c r="G314" s="6"/>
    </row>
    <row r="315" spans="4:10" x14ac:dyDescent="0.3">
      <c r="F315" s="6"/>
      <c r="G315" s="6"/>
    </row>
    <row r="316" spans="4:10" x14ac:dyDescent="0.3">
      <c r="F316" s="6"/>
      <c r="G316" s="6"/>
    </row>
    <row r="317" spans="4:10" x14ac:dyDescent="0.3">
      <c r="F317" s="6"/>
      <c r="G317" s="6"/>
    </row>
    <row r="318" spans="4:10" x14ac:dyDescent="0.3">
      <c r="F318" s="6"/>
      <c r="G318" s="6"/>
    </row>
    <row r="319" spans="4:10" x14ac:dyDescent="0.3">
      <c r="F319" s="6"/>
      <c r="G319" s="6"/>
    </row>
    <row r="320" spans="4:10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  <row r="331" spans="6:7" x14ac:dyDescent="0.3">
      <c r="F331" s="6"/>
      <c r="G331" s="6"/>
    </row>
    <row r="332" spans="6:7" x14ac:dyDescent="0.3">
      <c r="F332" s="6"/>
      <c r="G332" s="6"/>
    </row>
    <row r="333" spans="6:7" x14ac:dyDescent="0.3">
      <c r="F333" s="6"/>
      <c r="G333" s="6"/>
    </row>
    <row r="334" spans="6:7" x14ac:dyDescent="0.3">
      <c r="F334" s="6"/>
      <c r="G334" s="6"/>
    </row>
    <row r="335" spans="6:7" x14ac:dyDescent="0.3">
      <c r="F335" s="6"/>
      <c r="G335" s="6"/>
    </row>
    <row r="336" spans="6:7" x14ac:dyDescent="0.3">
      <c r="F336" s="6"/>
      <c r="G336" s="6"/>
    </row>
    <row r="337" spans="6:7" x14ac:dyDescent="0.3">
      <c r="F337" s="6"/>
      <c r="G337" s="6"/>
    </row>
    <row r="338" spans="6:7" x14ac:dyDescent="0.3">
      <c r="F338" s="6"/>
      <c r="G338" s="6"/>
    </row>
    <row r="339" spans="6:7" x14ac:dyDescent="0.3">
      <c r="F339" s="6"/>
      <c r="G339" s="6"/>
    </row>
    <row r="340" spans="6:7" x14ac:dyDescent="0.3">
      <c r="F340" s="6"/>
      <c r="G340" s="6"/>
    </row>
  </sheetData>
  <dataConsolidate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참조!$F$2:$F$3</xm:f>
          </x14:formula1>
          <xm:sqref>F3:F340</xm:sqref>
        </x14:dataValidation>
        <x14:dataValidation type="list" allowBlank="1" showInputMessage="1" showErrorMessage="1">
          <x14:formula1>
            <xm:f>참조!$G$2:$G$3</xm:f>
          </x14:formula1>
          <xm:sqref>G313:G340</xm:sqref>
        </x14:dataValidation>
        <x14:dataValidation type="list" allowBlank="1" showInputMessage="1" showErrorMessage="1">
          <x14:formula1>
            <xm:f>참조!$G:$G</xm:f>
          </x14:formula1>
          <xm:sqref>G3:G312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0"/>
  <sheetViews>
    <sheetView workbookViewId="0">
      <pane ySplit="2" topLeftCell="A3" activePane="bottomLeft" state="frozen"/>
      <selection activeCell="C3" sqref="C3"/>
      <selection pane="bottomLeft" activeCell="C3" sqref="C3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f>'2026년달력'!A1</f>
        <v>2026</v>
      </c>
    </row>
    <row r="2" spans="1:10" ht="14.25" thickBot="1" x14ac:dyDescent="0.35">
      <c r="A2" s="3" t="s">
        <v>1</v>
      </c>
      <c r="B2" s="3">
        <v>2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46054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46054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46054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46054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46054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46054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46054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46054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46054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46054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46055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46055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46055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46055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46055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46055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46055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46055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46055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46055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46056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46056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46056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46056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46056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46056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46056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46056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46056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46056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46057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46057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46057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46057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46057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46057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46057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46057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46057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46057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46058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46058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46058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46058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46058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46058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46058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46058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46058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46058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46059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46059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46059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46059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46059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46059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46059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46059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46059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46059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46060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46060</v>
      </c>
      <c r="F64" s="8"/>
      <c r="G64" s="8"/>
      <c r="H64" s="24"/>
      <c r="I64" s="7"/>
      <c r="J64" s="10"/>
    </row>
    <row r="65" spans="4:10" x14ac:dyDescent="0.3">
      <c r="D65" s="3">
        <v>7</v>
      </c>
      <c r="E65" s="9">
        <f t="shared" si="0"/>
        <v>46060</v>
      </c>
      <c r="F65" s="8"/>
      <c r="G65" s="8"/>
      <c r="H65" s="24"/>
      <c r="I65" s="7"/>
      <c r="J65" s="10"/>
    </row>
    <row r="66" spans="4:10" x14ac:dyDescent="0.3">
      <c r="D66" s="3">
        <v>7</v>
      </c>
      <c r="E66" s="9">
        <f t="shared" si="0"/>
        <v>46060</v>
      </c>
      <c r="F66" s="8"/>
      <c r="G66" s="8"/>
      <c r="H66" s="24"/>
      <c r="I66" s="7"/>
      <c r="J66" s="10"/>
    </row>
    <row r="67" spans="4:10" x14ac:dyDescent="0.3">
      <c r="D67" s="3">
        <v>7</v>
      </c>
      <c r="E67" s="9">
        <f t="shared" si="0"/>
        <v>46060</v>
      </c>
      <c r="F67" s="8"/>
      <c r="G67" s="8"/>
      <c r="H67" s="24"/>
      <c r="I67" s="7"/>
      <c r="J67" s="10"/>
    </row>
    <row r="68" spans="4:10" x14ac:dyDescent="0.3">
      <c r="D68" s="3">
        <v>7</v>
      </c>
      <c r="E68" s="9">
        <f t="shared" ref="E68:E131" si="1">DATE($B$1,$B$2,$D68)</f>
        <v>46060</v>
      </c>
      <c r="F68" s="8"/>
      <c r="G68" s="8"/>
      <c r="H68" s="24"/>
      <c r="I68" s="7"/>
      <c r="J68" s="10"/>
    </row>
    <row r="69" spans="4:10" x14ac:dyDescent="0.3">
      <c r="D69" s="3">
        <v>7</v>
      </c>
      <c r="E69" s="9">
        <f t="shared" si="1"/>
        <v>46060</v>
      </c>
      <c r="F69" s="8"/>
      <c r="G69" s="8"/>
      <c r="H69" s="24"/>
      <c r="I69" s="7"/>
      <c r="J69" s="10"/>
    </row>
    <row r="70" spans="4:10" x14ac:dyDescent="0.3">
      <c r="D70" s="3">
        <v>7</v>
      </c>
      <c r="E70" s="9">
        <f t="shared" si="1"/>
        <v>46060</v>
      </c>
      <c r="F70" s="8"/>
      <c r="G70" s="8"/>
      <c r="H70" s="24"/>
      <c r="I70" s="7"/>
      <c r="J70" s="10"/>
    </row>
    <row r="71" spans="4:10" x14ac:dyDescent="0.3">
      <c r="D71" s="3">
        <v>7</v>
      </c>
      <c r="E71" s="9">
        <f t="shared" si="1"/>
        <v>46060</v>
      </c>
      <c r="F71" s="8"/>
      <c r="G71" s="8"/>
      <c r="H71" s="24"/>
      <c r="I71" s="7"/>
      <c r="J71" s="10"/>
    </row>
    <row r="72" spans="4:10" x14ac:dyDescent="0.3">
      <c r="D72" s="3">
        <v>7</v>
      </c>
      <c r="E72" s="19">
        <f t="shared" si="1"/>
        <v>46060</v>
      </c>
      <c r="F72" s="20"/>
      <c r="G72" s="20"/>
      <c r="H72" s="25"/>
      <c r="I72" s="21"/>
      <c r="J72" s="22"/>
    </row>
    <row r="73" spans="4:10" x14ac:dyDescent="0.3">
      <c r="D73" s="3">
        <v>8</v>
      </c>
      <c r="E73" s="15">
        <f t="shared" si="1"/>
        <v>46061</v>
      </c>
      <c r="F73" s="16"/>
      <c r="G73" s="16"/>
      <c r="H73" s="23"/>
      <c r="I73" s="17"/>
      <c r="J73" s="18"/>
    </row>
    <row r="74" spans="4:10" x14ac:dyDescent="0.3">
      <c r="D74" s="3">
        <v>8</v>
      </c>
      <c r="E74" s="9">
        <f t="shared" si="1"/>
        <v>46061</v>
      </c>
      <c r="F74" s="8"/>
      <c r="G74" s="8"/>
      <c r="H74" s="24"/>
      <c r="I74" s="7"/>
      <c r="J74" s="10"/>
    </row>
    <row r="75" spans="4:10" x14ac:dyDescent="0.3">
      <c r="D75" s="3">
        <v>8</v>
      </c>
      <c r="E75" s="9">
        <f t="shared" si="1"/>
        <v>46061</v>
      </c>
      <c r="F75" s="8"/>
      <c r="G75" s="8"/>
      <c r="H75" s="24"/>
      <c r="I75" s="7"/>
      <c r="J75" s="10"/>
    </row>
    <row r="76" spans="4:10" x14ac:dyDescent="0.3">
      <c r="D76" s="3">
        <v>8</v>
      </c>
      <c r="E76" s="9">
        <f t="shared" si="1"/>
        <v>46061</v>
      </c>
      <c r="F76" s="8"/>
      <c r="G76" s="8"/>
      <c r="H76" s="24"/>
      <c r="I76" s="7"/>
      <c r="J76" s="10"/>
    </row>
    <row r="77" spans="4:10" x14ac:dyDescent="0.3">
      <c r="D77" s="3">
        <v>8</v>
      </c>
      <c r="E77" s="9">
        <f t="shared" si="1"/>
        <v>46061</v>
      </c>
      <c r="F77" s="8"/>
      <c r="G77" s="8"/>
      <c r="H77" s="24"/>
      <c r="I77" s="7"/>
      <c r="J77" s="10"/>
    </row>
    <row r="78" spans="4:10" x14ac:dyDescent="0.3">
      <c r="D78" s="3">
        <v>8</v>
      </c>
      <c r="E78" s="9">
        <f t="shared" si="1"/>
        <v>46061</v>
      </c>
      <c r="F78" s="8"/>
      <c r="G78" s="8"/>
      <c r="H78" s="24"/>
      <c r="I78" s="7"/>
      <c r="J78" s="10"/>
    </row>
    <row r="79" spans="4:10" x14ac:dyDescent="0.3">
      <c r="D79" s="3">
        <v>8</v>
      </c>
      <c r="E79" s="9">
        <f t="shared" si="1"/>
        <v>46061</v>
      </c>
      <c r="F79" s="8"/>
      <c r="G79" s="8"/>
      <c r="H79" s="24"/>
      <c r="I79" s="7"/>
      <c r="J79" s="10"/>
    </row>
    <row r="80" spans="4:10" x14ac:dyDescent="0.3">
      <c r="D80" s="3">
        <v>8</v>
      </c>
      <c r="E80" s="9">
        <f t="shared" si="1"/>
        <v>46061</v>
      </c>
      <c r="F80" s="8"/>
      <c r="G80" s="8"/>
      <c r="H80" s="24"/>
      <c r="I80" s="7"/>
      <c r="J80" s="10"/>
    </row>
    <row r="81" spans="4:12" x14ac:dyDescent="0.3">
      <c r="D81" s="3">
        <v>8</v>
      </c>
      <c r="E81" s="9">
        <f t="shared" si="1"/>
        <v>46061</v>
      </c>
      <c r="F81" s="8"/>
      <c r="G81" s="8"/>
      <c r="H81" s="24"/>
      <c r="I81" s="7"/>
      <c r="J81" s="10"/>
    </row>
    <row r="82" spans="4:12" x14ac:dyDescent="0.3">
      <c r="D82" s="3">
        <v>8</v>
      </c>
      <c r="E82" s="19">
        <f t="shared" si="1"/>
        <v>46061</v>
      </c>
      <c r="F82" s="20"/>
      <c r="G82" s="20"/>
      <c r="H82" s="25"/>
      <c r="I82" s="21"/>
      <c r="J82" s="22"/>
      <c r="L82" s="36"/>
    </row>
    <row r="83" spans="4:12" x14ac:dyDescent="0.3">
      <c r="D83" s="3">
        <v>9</v>
      </c>
      <c r="E83" s="15">
        <f t="shared" si="1"/>
        <v>46062</v>
      </c>
      <c r="F83" s="16"/>
      <c r="G83" s="16"/>
      <c r="H83" s="23"/>
      <c r="I83" s="17"/>
      <c r="J83" s="18"/>
    </row>
    <row r="84" spans="4:12" x14ac:dyDescent="0.3">
      <c r="D84" s="3">
        <v>9</v>
      </c>
      <c r="E84" s="9">
        <f t="shared" si="1"/>
        <v>46062</v>
      </c>
      <c r="F84" s="8"/>
      <c r="G84" s="8"/>
      <c r="H84" s="24"/>
      <c r="I84" s="7"/>
      <c r="J84" s="10"/>
    </row>
    <row r="85" spans="4:12" x14ac:dyDescent="0.3">
      <c r="D85" s="3">
        <v>9</v>
      </c>
      <c r="E85" s="9">
        <f t="shared" si="1"/>
        <v>46062</v>
      </c>
      <c r="F85" s="8"/>
      <c r="G85" s="8"/>
      <c r="H85" s="24"/>
      <c r="I85" s="7"/>
      <c r="J85" s="10"/>
    </row>
    <row r="86" spans="4:12" x14ac:dyDescent="0.3">
      <c r="D86" s="3">
        <v>9</v>
      </c>
      <c r="E86" s="9">
        <f t="shared" si="1"/>
        <v>46062</v>
      </c>
      <c r="F86" s="8"/>
      <c r="G86" s="8"/>
      <c r="H86" s="24"/>
      <c r="I86" s="7"/>
      <c r="J86" s="10"/>
    </row>
    <row r="87" spans="4:12" x14ac:dyDescent="0.3">
      <c r="D87" s="3">
        <v>9</v>
      </c>
      <c r="E87" s="9">
        <f t="shared" si="1"/>
        <v>46062</v>
      </c>
      <c r="F87" s="8"/>
      <c r="G87" s="8"/>
      <c r="H87" s="24"/>
      <c r="I87" s="7"/>
      <c r="J87" s="10"/>
    </row>
    <row r="88" spans="4:12" x14ac:dyDescent="0.3">
      <c r="D88" s="3">
        <v>9</v>
      </c>
      <c r="E88" s="9">
        <f t="shared" si="1"/>
        <v>46062</v>
      </c>
      <c r="F88" s="8"/>
      <c r="G88" s="8"/>
      <c r="H88" s="24"/>
      <c r="I88" s="7"/>
      <c r="J88" s="10"/>
    </row>
    <row r="89" spans="4:12" x14ac:dyDescent="0.3">
      <c r="D89" s="3">
        <v>9</v>
      </c>
      <c r="E89" s="9">
        <f t="shared" si="1"/>
        <v>46062</v>
      </c>
      <c r="F89" s="8"/>
      <c r="G89" s="8"/>
      <c r="H89" s="24"/>
      <c r="I89" s="7"/>
      <c r="J89" s="10"/>
    </row>
    <row r="90" spans="4:12" x14ac:dyDescent="0.3">
      <c r="D90" s="3">
        <v>9</v>
      </c>
      <c r="E90" s="9">
        <f t="shared" si="1"/>
        <v>46062</v>
      </c>
      <c r="F90" s="8"/>
      <c r="G90" s="8"/>
      <c r="H90" s="24"/>
      <c r="I90" s="7"/>
      <c r="J90" s="10"/>
    </row>
    <row r="91" spans="4:12" x14ac:dyDescent="0.3">
      <c r="D91" s="3">
        <v>9</v>
      </c>
      <c r="E91" s="9">
        <f t="shared" si="1"/>
        <v>46062</v>
      </c>
      <c r="F91" s="8"/>
      <c r="G91" s="8"/>
      <c r="H91" s="24"/>
      <c r="I91" s="7"/>
      <c r="J91" s="10"/>
    </row>
    <row r="92" spans="4:12" x14ac:dyDescent="0.3">
      <c r="D92" s="3">
        <v>9</v>
      </c>
      <c r="E92" s="19">
        <f t="shared" si="1"/>
        <v>46062</v>
      </c>
      <c r="F92" s="20"/>
      <c r="G92" s="20"/>
      <c r="H92" s="25"/>
      <c r="I92" s="21"/>
      <c r="J92" s="22"/>
      <c r="L92" s="36"/>
    </row>
    <row r="93" spans="4:12" x14ac:dyDescent="0.3">
      <c r="D93" s="3">
        <v>10</v>
      </c>
      <c r="E93" s="15">
        <f t="shared" si="1"/>
        <v>46063</v>
      </c>
      <c r="F93" s="16"/>
      <c r="G93" s="16"/>
      <c r="H93" s="23"/>
      <c r="I93" s="17"/>
      <c r="J93" s="18"/>
    </row>
    <row r="94" spans="4:12" x14ac:dyDescent="0.3">
      <c r="D94" s="3">
        <v>10</v>
      </c>
      <c r="E94" s="9">
        <f t="shared" si="1"/>
        <v>46063</v>
      </c>
      <c r="F94" s="8"/>
      <c r="G94" s="8"/>
      <c r="H94" s="24"/>
      <c r="I94" s="7"/>
      <c r="J94" s="10"/>
    </row>
    <row r="95" spans="4:12" x14ac:dyDescent="0.3">
      <c r="D95" s="3">
        <v>10</v>
      </c>
      <c r="E95" s="9">
        <f t="shared" si="1"/>
        <v>46063</v>
      </c>
      <c r="F95" s="8"/>
      <c r="G95" s="8"/>
      <c r="H95" s="24"/>
      <c r="I95" s="7"/>
      <c r="J95" s="10"/>
    </row>
    <row r="96" spans="4:12" x14ac:dyDescent="0.3">
      <c r="D96" s="3">
        <v>10</v>
      </c>
      <c r="E96" s="9">
        <f t="shared" si="1"/>
        <v>46063</v>
      </c>
      <c r="F96" s="8"/>
      <c r="G96" s="8"/>
      <c r="H96" s="24"/>
      <c r="I96" s="7"/>
      <c r="J96" s="10"/>
    </row>
    <row r="97" spans="4:12" x14ac:dyDescent="0.3">
      <c r="D97" s="3">
        <v>10</v>
      </c>
      <c r="E97" s="9">
        <f t="shared" si="1"/>
        <v>46063</v>
      </c>
      <c r="F97" s="8"/>
      <c r="G97" s="8"/>
      <c r="H97" s="24"/>
      <c r="I97" s="7"/>
      <c r="J97" s="10"/>
    </row>
    <row r="98" spans="4:12" x14ac:dyDescent="0.3">
      <c r="D98" s="3">
        <v>10</v>
      </c>
      <c r="E98" s="9">
        <f t="shared" si="1"/>
        <v>46063</v>
      </c>
      <c r="F98" s="8"/>
      <c r="G98" s="8"/>
      <c r="H98" s="24"/>
      <c r="I98" s="7"/>
      <c r="J98" s="10"/>
    </row>
    <row r="99" spans="4:12" x14ac:dyDescent="0.3">
      <c r="D99" s="3">
        <v>10</v>
      </c>
      <c r="E99" s="9">
        <f t="shared" si="1"/>
        <v>46063</v>
      </c>
      <c r="F99" s="8"/>
      <c r="G99" s="8"/>
      <c r="H99" s="24"/>
      <c r="I99" s="7"/>
      <c r="J99" s="10"/>
    </row>
    <row r="100" spans="4:12" x14ac:dyDescent="0.3">
      <c r="D100" s="3">
        <v>10</v>
      </c>
      <c r="E100" s="9">
        <f t="shared" si="1"/>
        <v>46063</v>
      </c>
      <c r="F100" s="8"/>
      <c r="G100" s="8"/>
      <c r="H100" s="24"/>
      <c r="I100" s="7"/>
      <c r="J100" s="10"/>
    </row>
    <row r="101" spans="4:12" x14ac:dyDescent="0.3">
      <c r="D101" s="3">
        <v>10</v>
      </c>
      <c r="E101" s="9">
        <f t="shared" si="1"/>
        <v>46063</v>
      </c>
      <c r="F101" s="8"/>
      <c r="G101" s="8"/>
      <c r="H101" s="24"/>
      <c r="I101" s="7"/>
      <c r="J101" s="10"/>
    </row>
    <row r="102" spans="4:12" x14ac:dyDescent="0.3">
      <c r="D102" s="3">
        <v>10</v>
      </c>
      <c r="E102" s="19">
        <f t="shared" si="1"/>
        <v>46063</v>
      </c>
      <c r="F102" s="20"/>
      <c r="G102" s="20"/>
      <c r="H102" s="25"/>
      <c r="I102" s="21"/>
      <c r="J102" s="22"/>
      <c r="L102" s="41"/>
    </row>
    <row r="103" spans="4:12" x14ac:dyDescent="0.3">
      <c r="D103" s="3">
        <v>11</v>
      </c>
      <c r="E103" s="15">
        <f t="shared" si="1"/>
        <v>46064</v>
      </c>
      <c r="F103" s="16"/>
      <c r="G103" s="16"/>
      <c r="H103" s="23"/>
      <c r="I103" s="17"/>
      <c r="J103" s="18"/>
    </row>
    <row r="104" spans="4:12" x14ac:dyDescent="0.3">
      <c r="D104" s="3">
        <v>11</v>
      </c>
      <c r="E104" s="9">
        <f t="shared" si="1"/>
        <v>46064</v>
      </c>
      <c r="F104" s="8"/>
      <c r="G104" s="8"/>
      <c r="H104" s="24"/>
      <c r="I104" s="7"/>
      <c r="J104" s="10"/>
    </row>
    <row r="105" spans="4:12" x14ac:dyDescent="0.3">
      <c r="D105" s="3">
        <v>11</v>
      </c>
      <c r="E105" s="9">
        <f t="shared" si="1"/>
        <v>46064</v>
      </c>
      <c r="F105" s="8"/>
      <c r="G105" s="8"/>
      <c r="H105" s="24"/>
      <c r="I105" s="7"/>
      <c r="J105" s="10"/>
    </row>
    <row r="106" spans="4:12" x14ac:dyDescent="0.3">
      <c r="D106" s="3">
        <v>11</v>
      </c>
      <c r="E106" s="9">
        <f t="shared" si="1"/>
        <v>46064</v>
      </c>
      <c r="F106" s="8"/>
      <c r="G106" s="8"/>
      <c r="H106" s="24"/>
      <c r="I106" s="7"/>
      <c r="J106" s="10"/>
    </row>
    <row r="107" spans="4:12" x14ac:dyDescent="0.3">
      <c r="D107" s="3">
        <v>11</v>
      </c>
      <c r="E107" s="9">
        <f t="shared" si="1"/>
        <v>46064</v>
      </c>
      <c r="F107" s="8"/>
      <c r="G107" s="8"/>
      <c r="H107" s="24"/>
      <c r="I107" s="7"/>
      <c r="J107" s="10"/>
    </row>
    <row r="108" spans="4:12" x14ac:dyDescent="0.3">
      <c r="D108" s="3">
        <v>11</v>
      </c>
      <c r="E108" s="9">
        <f t="shared" si="1"/>
        <v>46064</v>
      </c>
      <c r="F108" s="8"/>
      <c r="G108" s="8"/>
      <c r="H108" s="24"/>
      <c r="I108" s="7"/>
      <c r="J108" s="10"/>
    </row>
    <row r="109" spans="4:12" x14ac:dyDescent="0.3">
      <c r="D109" s="3">
        <v>11</v>
      </c>
      <c r="E109" s="9">
        <f t="shared" si="1"/>
        <v>46064</v>
      </c>
      <c r="F109" s="8"/>
      <c r="G109" s="8"/>
      <c r="H109" s="24"/>
      <c r="I109" s="7"/>
      <c r="J109" s="10"/>
    </row>
    <row r="110" spans="4:12" x14ac:dyDescent="0.3">
      <c r="D110" s="3">
        <v>11</v>
      </c>
      <c r="E110" s="9">
        <f t="shared" si="1"/>
        <v>46064</v>
      </c>
      <c r="F110" s="8"/>
      <c r="G110" s="8"/>
      <c r="H110" s="24"/>
      <c r="I110" s="7"/>
      <c r="J110" s="10"/>
    </row>
    <row r="111" spans="4:12" x14ac:dyDescent="0.3">
      <c r="D111" s="3">
        <v>11</v>
      </c>
      <c r="E111" s="9">
        <f t="shared" si="1"/>
        <v>46064</v>
      </c>
      <c r="F111" s="8"/>
      <c r="G111" s="8"/>
      <c r="H111" s="24"/>
      <c r="I111" s="7"/>
      <c r="J111" s="10"/>
    </row>
    <row r="112" spans="4:12" x14ac:dyDescent="0.3">
      <c r="D112" s="3">
        <v>11</v>
      </c>
      <c r="E112" s="19">
        <f t="shared" si="1"/>
        <v>46064</v>
      </c>
      <c r="F112" s="20"/>
      <c r="G112" s="20"/>
      <c r="H112" s="25"/>
      <c r="I112" s="21"/>
      <c r="J112" s="22"/>
    </row>
    <row r="113" spans="4:10" x14ac:dyDescent="0.3">
      <c r="D113" s="3">
        <v>12</v>
      </c>
      <c r="E113" s="15">
        <f t="shared" si="1"/>
        <v>46065</v>
      </c>
      <c r="F113" s="16"/>
      <c r="G113" s="16"/>
      <c r="H113" s="23"/>
      <c r="I113" s="17"/>
      <c r="J113" s="18"/>
    </row>
    <row r="114" spans="4:10" x14ac:dyDescent="0.3">
      <c r="D114" s="3">
        <v>12</v>
      </c>
      <c r="E114" s="9">
        <f t="shared" si="1"/>
        <v>46065</v>
      </c>
      <c r="F114" s="8"/>
      <c r="G114" s="8"/>
      <c r="H114" s="24"/>
      <c r="I114" s="7"/>
      <c r="J114" s="10"/>
    </row>
    <row r="115" spans="4:10" x14ac:dyDescent="0.3">
      <c r="D115" s="3">
        <v>12</v>
      </c>
      <c r="E115" s="9">
        <f t="shared" si="1"/>
        <v>46065</v>
      </c>
      <c r="F115" s="8"/>
      <c r="G115" s="8"/>
      <c r="H115" s="24"/>
      <c r="I115" s="7"/>
      <c r="J115" s="10"/>
    </row>
    <row r="116" spans="4:10" x14ac:dyDescent="0.3">
      <c r="D116" s="3">
        <v>12</v>
      </c>
      <c r="E116" s="9">
        <f t="shared" si="1"/>
        <v>46065</v>
      </c>
      <c r="F116" s="8"/>
      <c r="G116" s="8"/>
      <c r="H116" s="24"/>
      <c r="I116" s="7"/>
      <c r="J116" s="10"/>
    </row>
    <row r="117" spans="4:10" x14ac:dyDescent="0.3">
      <c r="D117" s="3">
        <v>12</v>
      </c>
      <c r="E117" s="9">
        <f t="shared" si="1"/>
        <v>46065</v>
      </c>
      <c r="F117" s="8"/>
      <c r="G117" s="8"/>
      <c r="H117" s="24"/>
      <c r="I117" s="7"/>
      <c r="J117" s="10"/>
    </row>
    <row r="118" spans="4:10" x14ac:dyDescent="0.3">
      <c r="D118" s="3">
        <v>12</v>
      </c>
      <c r="E118" s="9">
        <f t="shared" si="1"/>
        <v>46065</v>
      </c>
      <c r="F118" s="8"/>
      <c r="G118" s="8"/>
      <c r="H118" s="24"/>
      <c r="I118" s="7"/>
      <c r="J118" s="10"/>
    </row>
    <row r="119" spans="4:10" x14ac:dyDescent="0.3">
      <c r="D119" s="3">
        <v>12</v>
      </c>
      <c r="E119" s="9">
        <f t="shared" si="1"/>
        <v>46065</v>
      </c>
      <c r="F119" s="8"/>
      <c r="G119" s="8"/>
      <c r="H119" s="24"/>
      <c r="I119" s="7"/>
      <c r="J119" s="10"/>
    </row>
    <row r="120" spans="4:10" x14ac:dyDescent="0.3">
      <c r="D120" s="3">
        <v>12</v>
      </c>
      <c r="E120" s="9">
        <f t="shared" si="1"/>
        <v>46065</v>
      </c>
      <c r="F120" s="8"/>
      <c r="G120" s="8"/>
      <c r="H120" s="24"/>
      <c r="I120" s="7"/>
      <c r="J120" s="10"/>
    </row>
    <row r="121" spans="4:10" x14ac:dyDescent="0.3">
      <c r="D121" s="3">
        <v>12</v>
      </c>
      <c r="E121" s="9">
        <f t="shared" si="1"/>
        <v>46065</v>
      </c>
      <c r="F121" s="8"/>
      <c r="G121" s="8"/>
      <c r="H121" s="24"/>
      <c r="I121" s="7"/>
      <c r="J121" s="10"/>
    </row>
    <row r="122" spans="4:10" x14ac:dyDescent="0.3">
      <c r="D122" s="3">
        <v>12</v>
      </c>
      <c r="E122" s="19">
        <f t="shared" si="1"/>
        <v>46065</v>
      </c>
      <c r="F122" s="20"/>
      <c r="G122" s="20"/>
      <c r="H122" s="25"/>
      <c r="I122" s="21"/>
      <c r="J122" s="22"/>
    </row>
    <row r="123" spans="4:10" x14ac:dyDescent="0.3">
      <c r="D123" s="3">
        <v>13</v>
      </c>
      <c r="E123" s="15">
        <f t="shared" si="1"/>
        <v>46066</v>
      </c>
      <c r="F123" s="16"/>
      <c r="G123" s="16"/>
      <c r="H123" s="23"/>
      <c r="I123" s="17"/>
      <c r="J123" s="18"/>
    </row>
    <row r="124" spans="4:10" x14ac:dyDescent="0.3">
      <c r="D124" s="3">
        <v>13</v>
      </c>
      <c r="E124" s="9">
        <f t="shared" si="1"/>
        <v>46066</v>
      </c>
      <c r="F124" s="8"/>
      <c r="G124" s="8"/>
      <c r="H124" s="24"/>
      <c r="I124" s="7"/>
      <c r="J124" s="10"/>
    </row>
    <row r="125" spans="4:10" x14ac:dyDescent="0.3">
      <c r="D125" s="3">
        <v>13</v>
      </c>
      <c r="E125" s="9">
        <f t="shared" si="1"/>
        <v>46066</v>
      </c>
      <c r="F125" s="8"/>
      <c r="G125" s="8"/>
      <c r="H125" s="24"/>
      <c r="I125" s="7"/>
      <c r="J125" s="10"/>
    </row>
    <row r="126" spans="4:10" x14ac:dyDescent="0.3">
      <c r="D126" s="3">
        <v>13</v>
      </c>
      <c r="E126" s="9">
        <f t="shared" si="1"/>
        <v>46066</v>
      </c>
      <c r="F126" s="8"/>
      <c r="G126" s="8"/>
      <c r="H126" s="24"/>
      <c r="I126" s="7"/>
      <c r="J126" s="10"/>
    </row>
    <row r="127" spans="4:10" x14ac:dyDescent="0.3">
      <c r="D127" s="3">
        <v>13</v>
      </c>
      <c r="E127" s="9">
        <f t="shared" si="1"/>
        <v>46066</v>
      </c>
      <c r="F127" s="8"/>
      <c r="G127" s="8"/>
      <c r="H127" s="24"/>
      <c r="I127" s="7"/>
      <c r="J127" s="10"/>
    </row>
    <row r="128" spans="4:10" x14ac:dyDescent="0.3">
      <c r="D128" s="3">
        <v>13</v>
      </c>
      <c r="E128" s="9">
        <f t="shared" si="1"/>
        <v>46066</v>
      </c>
      <c r="F128" s="8"/>
      <c r="G128" s="8"/>
      <c r="H128" s="24"/>
      <c r="I128" s="7"/>
      <c r="J128" s="10"/>
    </row>
    <row r="129" spans="4:10" x14ac:dyDescent="0.3">
      <c r="D129" s="3">
        <v>13</v>
      </c>
      <c r="E129" s="9">
        <f t="shared" si="1"/>
        <v>46066</v>
      </c>
      <c r="F129" s="8"/>
      <c r="G129" s="8"/>
      <c r="H129" s="24"/>
      <c r="I129" s="7"/>
      <c r="J129" s="10"/>
    </row>
    <row r="130" spans="4:10" x14ac:dyDescent="0.3">
      <c r="D130" s="3">
        <v>13</v>
      </c>
      <c r="E130" s="9">
        <f t="shared" si="1"/>
        <v>46066</v>
      </c>
      <c r="F130" s="8"/>
      <c r="G130" s="8"/>
      <c r="H130" s="24"/>
      <c r="I130" s="7"/>
      <c r="J130" s="10"/>
    </row>
    <row r="131" spans="4:10" x14ac:dyDescent="0.3">
      <c r="D131" s="3">
        <v>13</v>
      </c>
      <c r="E131" s="9">
        <f t="shared" si="1"/>
        <v>46066</v>
      </c>
      <c r="F131" s="8"/>
      <c r="G131" s="8"/>
      <c r="H131" s="24"/>
      <c r="I131" s="7"/>
      <c r="J131" s="10"/>
    </row>
    <row r="132" spans="4:10" x14ac:dyDescent="0.3">
      <c r="D132" s="3">
        <v>13</v>
      </c>
      <c r="E132" s="19">
        <f t="shared" ref="E132:E195" si="2">DATE($B$1,$B$2,$D132)</f>
        <v>46066</v>
      </c>
      <c r="F132" s="20"/>
      <c r="G132" s="20"/>
      <c r="H132" s="25"/>
      <c r="I132" s="21"/>
      <c r="J132" s="22"/>
    </row>
    <row r="133" spans="4:10" x14ac:dyDescent="0.3">
      <c r="D133" s="3">
        <v>14</v>
      </c>
      <c r="E133" s="15">
        <f t="shared" si="2"/>
        <v>46067</v>
      </c>
      <c r="F133" s="16"/>
      <c r="G133" s="16"/>
      <c r="H133" s="23"/>
      <c r="I133" s="17"/>
      <c r="J133" s="18"/>
    </row>
    <row r="134" spans="4:10" x14ac:dyDescent="0.3">
      <c r="D134" s="3">
        <v>14</v>
      </c>
      <c r="E134" s="9">
        <f t="shared" si="2"/>
        <v>46067</v>
      </c>
      <c r="F134" s="8"/>
      <c r="G134" s="8"/>
      <c r="H134" s="24"/>
      <c r="I134" s="7"/>
      <c r="J134" s="10"/>
    </row>
    <row r="135" spans="4:10" x14ac:dyDescent="0.3">
      <c r="D135" s="3">
        <v>14</v>
      </c>
      <c r="E135" s="9">
        <f t="shared" si="2"/>
        <v>46067</v>
      </c>
      <c r="F135" s="8"/>
      <c r="G135" s="8"/>
      <c r="H135" s="24"/>
      <c r="I135" s="7"/>
      <c r="J135" s="10"/>
    </row>
    <row r="136" spans="4:10" x14ac:dyDescent="0.3">
      <c r="D136" s="3">
        <v>14</v>
      </c>
      <c r="E136" s="9">
        <f t="shared" si="2"/>
        <v>46067</v>
      </c>
      <c r="F136" s="8"/>
      <c r="G136" s="8"/>
      <c r="H136" s="24"/>
      <c r="I136" s="7"/>
      <c r="J136" s="10"/>
    </row>
    <row r="137" spans="4:10" x14ac:dyDescent="0.3">
      <c r="D137" s="3">
        <v>14</v>
      </c>
      <c r="E137" s="9">
        <f t="shared" si="2"/>
        <v>46067</v>
      </c>
      <c r="F137" s="8"/>
      <c r="G137" s="8"/>
      <c r="H137" s="24"/>
      <c r="I137" s="7"/>
      <c r="J137" s="10"/>
    </row>
    <row r="138" spans="4:10" x14ac:dyDescent="0.3">
      <c r="D138" s="3">
        <v>14</v>
      </c>
      <c r="E138" s="9">
        <f t="shared" si="2"/>
        <v>46067</v>
      </c>
      <c r="F138" s="8"/>
      <c r="G138" s="8"/>
      <c r="H138" s="24"/>
      <c r="I138" s="7"/>
      <c r="J138" s="10"/>
    </row>
    <row r="139" spans="4:10" x14ac:dyDescent="0.3">
      <c r="D139" s="3">
        <v>14</v>
      </c>
      <c r="E139" s="9">
        <f t="shared" si="2"/>
        <v>46067</v>
      </c>
      <c r="F139" s="8"/>
      <c r="G139" s="8"/>
      <c r="H139" s="24"/>
      <c r="I139" s="7"/>
      <c r="J139" s="10"/>
    </row>
    <row r="140" spans="4:10" x14ac:dyDescent="0.3">
      <c r="D140" s="3">
        <v>14</v>
      </c>
      <c r="E140" s="9">
        <f t="shared" si="2"/>
        <v>46067</v>
      </c>
      <c r="F140" s="8"/>
      <c r="G140" s="8"/>
      <c r="H140" s="24"/>
      <c r="I140" s="7"/>
      <c r="J140" s="10"/>
    </row>
    <row r="141" spans="4:10" x14ac:dyDescent="0.3">
      <c r="D141" s="3">
        <v>14</v>
      </c>
      <c r="E141" s="9">
        <f t="shared" si="2"/>
        <v>46067</v>
      </c>
      <c r="F141" s="8"/>
      <c r="G141" s="8"/>
      <c r="H141" s="24"/>
      <c r="I141" s="7"/>
      <c r="J141" s="10"/>
    </row>
    <row r="142" spans="4:10" x14ac:dyDescent="0.3">
      <c r="D142" s="3">
        <v>14</v>
      </c>
      <c r="E142" s="19">
        <f t="shared" si="2"/>
        <v>46067</v>
      </c>
      <c r="F142" s="20"/>
      <c r="G142" s="20"/>
      <c r="H142" s="25"/>
      <c r="I142" s="21"/>
      <c r="J142" s="22"/>
    </row>
    <row r="143" spans="4:10" x14ac:dyDescent="0.3">
      <c r="D143" s="3">
        <v>15</v>
      </c>
      <c r="E143" s="15">
        <f t="shared" si="2"/>
        <v>46068</v>
      </c>
      <c r="F143" s="16"/>
      <c r="G143" s="16"/>
      <c r="H143" s="23"/>
      <c r="I143" s="17"/>
      <c r="J143" s="18"/>
    </row>
    <row r="144" spans="4:10" x14ac:dyDescent="0.3">
      <c r="D144" s="3">
        <v>15</v>
      </c>
      <c r="E144" s="9">
        <f t="shared" si="2"/>
        <v>46068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46068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46068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46068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46068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46068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46068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46068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46068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46069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46069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46069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46069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46069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46069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46069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46069</v>
      </c>
      <c r="F160" s="8"/>
      <c r="G160" s="8"/>
      <c r="H160" s="24"/>
      <c r="I160" s="7"/>
      <c r="J160" s="10"/>
    </row>
    <row r="161" spans="4:12" x14ac:dyDescent="0.3">
      <c r="D161" s="3">
        <v>16</v>
      </c>
      <c r="E161" s="9">
        <f t="shared" si="2"/>
        <v>46069</v>
      </c>
      <c r="F161" s="8"/>
      <c r="G161" s="8"/>
      <c r="H161" s="24"/>
      <c r="I161" s="7"/>
      <c r="J161" s="10"/>
    </row>
    <row r="162" spans="4:12" x14ac:dyDescent="0.3">
      <c r="D162" s="3">
        <v>16</v>
      </c>
      <c r="E162" s="19">
        <f t="shared" si="2"/>
        <v>46069</v>
      </c>
      <c r="F162" s="20"/>
      <c r="G162" s="20"/>
      <c r="H162" s="25"/>
      <c r="I162" s="21"/>
      <c r="J162" s="22"/>
    </row>
    <row r="163" spans="4:12" x14ac:dyDescent="0.3">
      <c r="D163" s="3">
        <v>17</v>
      </c>
      <c r="E163" s="15">
        <f t="shared" si="2"/>
        <v>46070</v>
      </c>
      <c r="F163" s="16"/>
      <c r="G163" s="16"/>
      <c r="H163" s="23"/>
      <c r="I163" s="17"/>
      <c r="J163" s="18"/>
      <c r="L163" s="41"/>
    </row>
    <row r="164" spans="4:12" x14ac:dyDescent="0.3">
      <c r="D164" s="3">
        <v>17</v>
      </c>
      <c r="E164" s="9">
        <f t="shared" si="2"/>
        <v>46070</v>
      </c>
      <c r="F164" s="8"/>
      <c r="G164" s="8"/>
      <c r="H164" s="24"/>
      <c r="I164" s="7"/>
      <c r="J164" s="10"/>
    </row>
    <row r="165" spans="4:12" x14ac:dyDescent="0.3">
      <c r="D165" s="3">
        <v>17</v>
      </c>
      <c r="E165" s="9">
        <f t="shared" si="2"/>
        <v>46070</v>
      </c>
      <c r="F165" s="8"/>
      <c r="G165" s="8"/>
      <c r="H165" s="24"/>
      <c r="I165" s="7"/>
      <c r="J165" s="10"/>
    </row>
    <row r="166" spans="4:12" x14ac:dyDescent="0.3">
      <c r="D166" s="3">
        <v>17</v>
      </c>
      <c r="E166" s="9">
        <f t="shared" si="2"/>
        <v>46070</v>
      </c>
      <c r="F166" s="8"/>
      <c r="G166" s="8"/>
      <c r="H166" s="24"/>
      <c r="I166" s="7"/>
      <c r="J166" s="10"/>
    </row>
    <row r="167" spans="4:12" x14ac:dyDescent="0.3">
      <c r="D167" s="3">
        <v>17</v>
      </c>
      <c r="E167" s="9">
        <f t="shared" si="2"/>
        <v>46070</v>
      </c>
      <c r="F167" s="8"/>
      <c r="G167" s="8"/>
      <c r="H167" s="24"/>
      <c r="I167" s="7"/>
      <c r="J167" s="10"/>
    </row>
    <row r="168" spans="4:12" x14ac:dyDescent="0.3">
      <c r="D168" s="3">
        <v>17</v>
      </c>
      <c r="E168" s="9">
        <f t="shared" si="2"/>
        <v>46070</v>
      </c>
      <c r="F168" s="8"/>
      <c r="G168" s="8"/>
      <c r="H168" s="24"/>
      <c r="I168" s="7"/>
      <c r="J168" s="10"/>
    </row>
    <row r="169" spans="4:12" x14ac:dyDescent="0.3">
      <c r="D169" s="3">
        <v>17</v>
      </c>
      <c r="E169" s="9">
        <f t="shared" si="2"/>
        <v>46070</v>
      </c>
      <c r="F169" s="8"/>
      <c r="G169" s="8"/>
      <c r="H169" s="24"/>
      <c r="I169" s="7"/>
      <c r="J169" s="10"/>
    </row>
    <row r="170" spans="4:12" x14ac:dyDescent="0.3">
      <c r="D170" s="3">
        <v>17</v>
      </c>
      <c r="E170" s="9">
        <f t="shared" si="2"/>
        <v>46070</v>
      </c>
      <c r="F170" s="8"/>
      <c r="G170" s="8"/>
      <c r="H170" s="24"/>
      <c r="I170" s="7"/>
      <c r="J170" s="10"/>
    </row>
    <row r="171" spans="4:12" x14ac:dyDescent="0.3">
      <c r="D171" s="3">
        <v>17</v>
      </c>
      <c r="E171" s="9">
        <f t="shared" si="2"/>
        <v>46070</v>
      </c>
      <c r="F171" s="8"/>
      <c r="G171" s="8"/>
      <c r="H171" s="24"/>
      <c r="I171" s="7"/>
      <c r="J171" s="10"/>
    </row>
    <row r="172" spans="4:12" x14ac:dyDescent="0.3">
      <c r="D172" s="3">
        <v>17</v>
      </c>
      <c r="E172" s="19">
        <f t="shared" si="2"/>
        <v>46070</v>
      </c>
      <c r="F172" s="20"/>
      <c r="G172" s="20"/>
      <c r="H172" s="25"/>
      <c r="I172" s="21"/>
      <c r="J172" s="22"/>
    </row>
    <row r="173" spans="4:12" x14ac:dyDescent="0.3">
      <c r="D173" s="3">
        <v>18</v>
      </c>
      <c r="E173" s="15">
        <f t="shared" si="2"/>
        <v>46071</v>
      </c>
      <c r="F173" s="16"/>
      <c r="G173" s="16"/>
      <c r="H173" s="23"/>
      <c r="I173" s="17"/>
      <c r="J173" s="18"/>
    </row>
    <row r="174" spans="4:12" x14ac:dyDescent="0.3">
      <c r="D174" s="3">
        <v>18</v>
      </c>
      <c r="E174" s="9">
        <f t="shared" si="2"/>
        <v>46071</v>
      </c>
      <c r="F174" s="8"/>
      <c r="G174" s="8"/>
      <c r="H174" s="24"/>
      <c r="I174" s="7"/>
      <c r="J174" s="10"/>
    </row>
    <row r="175" spans="4:12" x14ac:dyDescent="0.3">
      <c r="D175" s="3">
        <v>18</v>
      </c>
      <c r="E175" s="9">
        <f t="shared" si="2"/>
        <v>46071</v>
      </c>
      <c r="F175" s="8"/>
      <c r="G175" s="8"/>
      <c r="H175" s="24"/>
      <c r="I175" s="7"/>
      <c r="J175" s="10"/>
    </row>
    <row r="176" spans="4:12" x14ac:dyDescent="0.3">
      <c r="D176" s="3">
        <v>18</v>
      </c>
      <c r="E176" s="9">
        <f t="shared" si="2"/>
        <v>46071</v>
      </c>
      <c r="F176" s="8"/>
      <c r="G176" s="8"/>
      <c r="H176" s="24"/>
      <c r="I176" s="7"/>
      <c r="J176" s="10"/>
    </row>
    <row r="177" spans="4:12" x14ac:dyDescent="0.3">
      <c r="D177" s="3">
        <v>18</v>
      </c>
      <c r="E177" s="9">
        <f t="shared" si="2"/>
        <v>46071</v>
      </c>
      <c r="F177" s="8"/>
      <c r="G177" s="8"/>
      <c r="H177" s="24"/>
      <c r="I177" s="7"/>
      <c r="J177" s="10"/>
    </row>
    <row r="178" spans="4:12" x14ac:dyDescent="0.3">
      <c r="D178" s="3">
        <v>18</v>
      </c>
      <c r="E178" s="9">
        <f t="shared" si="2"/>
        <v>46071</v>
      </c>
      <c r="F178" s="8"/>
      <c r="G178" s="8"/>
      <c r="H178" s="24"/>
      <c r="I178" s="7"/>
      <c r="J178" s="10"/>
    </row>
    <row r="179" spans="4:12" x14ac:dyDescent="0.3">
      <c r="D179" s="3">
        <v>18</v>
      </c>
      <c r="E179" s="9">
        <f t="shared" si="2"/>
        <v>46071</v>
      </c>
      <c r="F179" s="8"/>
      <c r="G179" s="8"/>
      <c r="H179" s="24"/>
      <c r="I179" s="7"/>
      <c r="J179" s="10"/>
    </row>
    <row r="180" spans="4:12" x14ac:dyDescent="0.3">
      <c r="D180" s="3">
        <v>18</v>
      </c>
      <c r="E180" s="9">
        <f t="shared" si="2"/>
        <v>46071</v>
      </c>
      <c r="F180" s="8"/>
      <c r="G180" s="8"/>
      <c r="H180" s="24"/>
      <c r="I180" s="7"/>
      <c r="J180" s="10"/>
    </row>
    <row r="181" spans="4:12" x14ac:dyDescent="0.3">
      <c r="D181" s="3">
        <v>18</v>
      </c>
      <c r="E181" s="9">
        <f t="shared" si="2"/>
        <v>46071</v>
      </c>
      <c r="F181" s="8"/>
      <c r="G181" s="8"/>
      <c r="H181" s="24"/>
      <c r="I181" s="7"/>
      <c r="J181" s="10"/>
    </row>
    <row r="182" spans="4:12" x14ac:dyDescent="0.3">
      <c r="D182" s="3">
        <v>18</v>
      </c>
      <c r="E182" s="19">
        <f t="shared" si="2"/>
        <v>46071</v>
      </c>
      <c r="F182" s="20"/>
      <c r="G182" s="20"/>
      <c r="H182" s="25"/>
      <c r="I182" s="21"/>
      <c r="J182" s="22"/>
      <c r="L182" s="41"/>
    </row>
    <row r="183" spans="4:12" x14ac:dyDescent="0.3">
      <c r="D183" s="3">
        <v>19</v>
      </c>
      <c r="E183" s="15">
        <f t="shared" si="2"/>
        <v>46072</v>
      </c>
      <c r="F183" s="16"/>
      <c r="G183" s="16"/>
      <c r="H183" s="23"/>
      <c r="I183" s="17"/>
      <c r="J183" s="18"/>
    </row>
    <row r="184" spans="4:12" x14ac:dyDescent="0.3">
      <c r="D184" s="3">
        <v>19</v>
      </c>
      <c r="E184" s="9">
        <f t="shared" si="2"/>
        <v>46072</v>
      </c>
      <c r="F184" s="8"/>
      <c r="G184" s="8"/>
      <c r="H184" s="24"/>
      <c r="I184" s="7"/>
      <c r="J184" s="10"/>
    </row>
    <row r="185" spans="4:12" x14ac:dyDescent="0.3">
      <c r="D185" s="3">
        <v>19</v>
      </c>
      <c r="E185" s="9">
        <f t="shared" si="2"/>
        <v>46072</v>
      </c>
      <c r="F185" s="8"/>
      <c r="G185" s="8"/>
      <c r="H185" s="24"/>
      <c r="I185" s="7"/>
      <c r="J185" s="10"/>
    </row>
    <row r="186" spans="4:12" x14ac:dyDescent="0.3">
      <c r="D186" s="3">
        <v>19</v>
      </c>
      <c r="E186" s="9">
        <f t="shared" si="2"/>
        <v>46072</v>
      </c>
      <c r="F186" s="8"/>
      <c r="G186" s="8"/>
      <c r="H186" s="24"/>
      <c r="I186" s="7"/>
      <c r="J186" s="10"/>
    </row>
    <row r="187" spans="4:12" x14ac:dyDescent="0.3">
      <c r="D187" s="3">
        <v>19</v>
      </c>
      <c r="E187" s="9">
        <f t="shared" si="2"/>
        <v>46072</v>
      </c>
      <c r="F187" s="8"/>
      <c r="G187" s="8"/>
      <c r="H187" s="24"/>
      <c r="I187" s="7"/>
      <c r="J187" s="10"/>
    </row>
    <row r="188" spans="4:12" x14ac:dyDescent="0.3">
      <c r="D188" s="3">
        <v>19</v>
      </c>
      <c r="E188" s="9">
        <f t="shared" si="2"/>
        <v>46072</v>
      </c>
      <c r="F188" s="8"/>
      <c r="G188" s="8"/>
      <c r="H188" s="24"/>
      <c r="I188" s="7"/>
      <c r="J188" s="10"/>
    </row>
    <row r="189" spans="4:12" x14ac:dyDescent="0.3">
      <c r="D189" s="3">
        <v>19</v>
      </c>
      <c r="E189" s="9">
        <f t="shared" si="2"/>
        <v>46072</v>
      </c>
      <c r="F189" s="8"/>
      <c r="G189" s="8"/>
      <c r="H189" s="24"/>
      <c r="I189" s="7"/>
      <c r="J189" s="10"/>
    </row>
    <row r="190" spans="4:12" x14ac:dyDescent="0.3">
      <c r="D190" s="3">
        <v>19</v>
      </c>
      <c r="E190" s="9">
        <f t="shared" si="2"/>
        <v>46072</v>
      </c>
      <c r="F190" s="8"/>
      <c r="G190" s="8"/>
      <c r="H190" s="24"/>
      <c r="I190" s="7"/>
      <c r="J190" s="10"/>
    </row>
    <row r="191" spans="4:12" x14ac:dyDescent="0.3">
      <c r="D191" s="3">
        <v>19</v>
      </c>
      <c r="E191" s="9">
        <f t="shared" si="2"/>
        <v>46072</v>
      </c>
      <c r="F191" s="8"/>
      <c r="G191" s="8"/>
      <c r="H191" s="24"/>
      <c r="I191" s="7"/>
      <c r="J191" s="10"/>
    </row>
    <row r="192" spans="4:12" x14ac:dyDescent="0.3">
      <c r="D192" s="3">
        <v>19</v>
      </c>
      <c r="E192" s="19">
        <f t="shared" si="2"/>
        <v>46072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46073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46073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46073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46073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46073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46073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46073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46073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46073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46073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46074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46074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46074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46074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46074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46074</v>
      </c>
      <c r="F208" s="8"/>
      <c r="G208" s="8"/>
      <c r="H208" s="24"/>
      <c r="I208" s="7"/>
      <c r="J208" s="10"/>
    </row>
    <row r="209" spans="4:12" x14ac:dyDescent="0.3">
      <c r="D209" s="3">
        <v>21</v>
      </c>
      <c r="E209" s="9">
        <f t="shared" si="3"/>
        <v>46074</v>
      </c>
      <c r="F209" s="8"/>
      <c r="G209" s="8"/>
      <c r="H209" s="24"/>
      <c r="I209" s="7"/>
      <c r="J209" s="10"/>
    </row>
    <row r="210" spans="4:12" x14ac:dyDescent="0.3">
      <c r="D210" s="3">
        <v>21</v>
      </c>
      <c r="E210" s="9">
        <f t="shared" si="3"/>
        <v>46074</v>
      </c>
      <c r="F210" s="8"/>
      <c r="G210" s="8"/>
      <c r="H210" s="24"/>
      <c r="I210" s="7"/>
      <c r="J210" s="10"/>
    </row>
    <row r="211" spans="4:12" x14ac:dyDescent="0.3">
      <c r="D211" s="3">
        <v>21</v>
      </c>
      <c r="E211" s="9">
        <f t="shared" si="3"/>
        <v>46074</v>
      </c>
      <c r="F211" s="8"/>
      <c r="G211" s="8"/>
      <c r="H211" s="24"/>
      <c r="I211" s="7"/>
      <c r="J211" s="10"/>
    </row>
    <row r="212" spans="4:12" x14ac:dyDescent="0.3">
      <c r="D212" s="3">
        <v>21</v>
      </c>
      <c r="E212" s="19">
        <f t="shared" si="3"/>
        <v>46074</v>
      </c>
      <c r="F212" s="20"/>
      <c r="G212" s="20"/>
      <c r="H212" s="25"/>
      <c r="I212" s="21"/>
      <c r="J212" s="22"/>
    </row>
    <row r="213" spans="4:12" x14ac:dyDescent="0.3">
      <c r="D213" s="3">
        <v>22</v>
      </c>
      <c r="E213" s="15">
        <f t="shared" si="3"/>
        <v>46075</v>
      </c>
      <c r="F213" s="16"/>
      <c r="G213" s="16"/>
      <c r="H213" s="23"/>
      <c r="I213" s="17"/>
      <c r="J213" s="18"/>
    </row>
    <row r="214" spans="4:12" x14ac:dyDescent="0.3">
      <c r="D214" s="3">
        <v>22</v>
      </c>
      <c r="E214" s="9">
        <f t="shared" si="3"/>
        <v>46075</v>
      </c>
      <c r="F214" s="8"/>
      <c r="G214" s="8"/>
      <c r="H214" s="24"/>
      <c r="I214" s="7"/>
      <c r="J214" s="10"/>
    </row>
    <row r="215" spans="4:12" x14ac:dyDescent="0.3">
      <c r="D215" s="3">
        <v>22</v>
      </c>
      <c r="E215" s="9">
        <f t="shared" si="3"/>
        <v>46075</v>
      </c>
      <c r="F215" s="8"/>
      <c r="G215" s="8"/>
      <c r="H215" s="24"/>
      <c r="I215" s="7"/>
      <c r="J215" s="10"/>
    </row>
    <row r="216" spans="4:12" x14ac:dyDescent="0.3">
      <c r="D216" s="3">
        <v>22</v>
      </c>
      <c r="E216" s="9">
        <f t="shared" si="3"/>
        <v>46075</v>
      </c>
      <c r="F216" s="8"/>
      <c r="G216" s="8"/>
      <c r="H216" s="24"/>
      <c r="I216" s="7"/>
      <c r="J216" s="10"/>
    </row>
    <row r="217" spans="4:12" x14ac:dyDescent="0.3">
      <c r="D217" s="3">
        <v>22</v>
      </c>
      <c r="E217" s="9">
        <f t="shared" si="3"/>
        <v>46075</v>
      </c>
      <c r="F217" s="8"/>
      <c r="G217" s="8"/>
      <c r="H217" s="24"/>
      <c r="I217" s="7"/>
      <c r="J217" s="10"/>
    </row>
    <row r="218" spans="4:12" x14ac:dyDescent="0.3">
      <c r="D218" s="3">
        <v>22</v>
      </c>
      <c r="E218" s="9">
        <f t="shared" si="3"/>
        <v>46075</v>
      </c>
      <c r="F218" s="8"/>
      <c r="G218" s="8"/>
      <c r="H218" s="24"/>
      <c r="I218" s="7"/>
      <c r="J218" s="10"/>
    </row>
    <row r="219" spans="4:12" x14ac:dyDescent="0.3">
      <c r="D219" s="3">
        <v>22</v>
      </c>
      <c r="E219" s="9">
        <f t="shared" si="3"/>
        <v>46075</v>
      </c>
      <c r="F219" s="8"/>
      <c r="G219" s="8"/>
      <c r="H219" s="24"/>
      <c r="I219" s="7"/>
      <c r="J219" s="10"/>
    </row>
    <row r="220" spans="4:12" x14ac:dyDescent="0.3">
      <c r="D220" s="3">
        <v>22</v>
      </c>
      <c r="E220" s="9">
        <f t="shared" si="3"/>
        <v>46075</v>
      </c>
      <c r="F220" s="8"/>
      <c r="G220" s="8"/>
      <c r="H220" s="24"/>
      <c r="I220" s="7"/>
      <c r="J220" s="10"/>
    </row>
    <row r="221" spans="4:12" x14ac:dyDescent="0.3">
      <c r="D221" s="3">
        <v>22</v>
      </c>
      <c r="E221" s="9">
        <f t="shared" si="3"/>
        <v>46075</v>
      </c>
      <c r="F221" s="8"/>
      <c r="G221" s="8"/>
      <c r="H221" s="24"/>
      <c r="I221" s="7"/>
      <c r="J221" s="10"/>
    </row>
    <row r="222" spans="4:12" x14ac:dyDescent="0.3">
      <c r="D222" s="3">
        <v>22</v>
      </c>
      <c r="E222" s="19">
        <f t="shared" si="3"/>
        <v>46075</v>
      </c>
      <c r="F222" s="20"/>
      <c r="G222" s="20"/>
      <c r="H222" s="25"/>
      <c r="I222" s="21"/>
      <c r="J222" s="22"/>
      <c r="L222" s="41"/>
    </row>
    <row r="223" spans="4:12" x14ac:dyDescent="0.3">
      <c r="D223" s="3">
        <v>23</v>
      </c>
      <c r="E223" s="15">
        <f t="shared" si="3"/>
        <v>46076</v>
      </c>
      <c r="F223" s="16"/>
      <c r="G223" s="16"/>
      <c r="H223" s="23"/>
      <c r="I223" s="17"/>
      <c r="J223" s="18"/>
    </row>
    <row r="224" spans="4:12" x14ac:dyDescent="0.3">
      <c r="D224" s="3">
        <v>23</v>
      </c>
      <c r="E224" s="9">
        <f t="shared" si="3"/>
        <v>46076</v>
      </c>
      <c r="F224" s="8"/>
      <c r="G224" s="8"/>
      <c r="H224" s="24"/>
      <c r="I224" s="7"/>
      <c r="J224" s="10"/>
    </row>
    <row r="225" spans="4:12" x14ac:dyDescent="0.3">
      <c r="D225" s="3">
        <v>23</v>
      </c>
      <c r="E225" s="9">
        <f t="shared" si="3"/>
        <v>46076</v>
      </c>
      <c r="F225" s="8"/>
      <c r="G225" s="8"/>
      <c r="H225" s="24"/>
      <c r="I225" s="7"/>
      <c r="J225" s="10"/>
    </row>
    <row r="226" spans="4:12" x14ac:dyDescent="0.3">
      <c r="D226" s="3">
        <v>23</v>
      </c>
      <c r="E226" s="9">
        <f t="shared" si="3"/>
        <v>46076</v>
      </c>
      <c r="F226" s="8"/>
      <c r="G226" s="8"/>
      <c r="H226" s="24"/>
      <c r="I226" s="7"/>
      <c r="J226" s="10"/>
    </row>
    <row r="227" spans="4:12" x14ac:dyDescent="0.3">
      <c r="D227" s="3">
        <v>23</v>
      </c>
      <c r="E227" s="9">
        <f t="shared" si="3"/>
        <v>46076</v>
      </c>
      <c r="F227" s="8"/>
      <c r="G227" s="8"/>
      <c r="H227" s="24"/>
      <c r="I227" s="7"/>
      <c r="J227" s="10"/>
    </row>
    <row r="228" spans="4:12" x14ac:dyDescent="0.3">
      <c r="D228" s="3">
        <v>23</v>
      </c>
      <c r="E228" s="9">
        <f t="shared" si="3"/>
        <v>46076</v>
      </c>
      <c r="F228" s="8"/>
      <c r="G228" s="8"/>
      <c r="H228" s="24"/>
      <c r="I228" s="7"/>
      <c r="J228" s="10"/>
    </row>
    <row r="229" spans="4:12" x14ac:dyDescent="0.3">
      <c r="D229" s="3">
        <v>23</v>
      </c>
      <c r="E229" s="9">
        <f t="shared" si="3"/>
        <v>46076</v>
      </c>
      <c r="F229" s="8"/>
      <c r="G229" s="8"/>
      <c r="H229" s="24"/>
      <c r="I229" s="7"/>
      <c r="J229" s="10"/>
    </row>
    <row r="230" spans="4:12" x14ac:dyDescent="0.3">
      <c r="D230" s="3">
        <v>23</v>
      </c>
      <c r="E230" s="9">
        <f t="shared" si="3"/>
        <v>46076</v>
      </c>
      <c r="F230" s="8"/>
      <c r="G230" s="8"/>
      <c r="H230" s="24"/>
      <c r="I230" s="7"/>
      <c r="J230" s="10"/>
    </row>
    <row r="231" spans="4:12" x14ac:dyDescent="0.3">
      <c r="D231" s="3">
        <v>23</v>
      </c>
      <c r="E231" s="9">
        <f t="shared" si="3"/>
        <v>46076</v>
      </c>
      <c r="F231" s="8"/>
      <c r="G231" s="8"/>
      <c r="H231" s="24"/>
      <c r="I231" s="7"/>
      <c r="J231" s="10"/>
    </row>
    <row r="232" spans="4:12" x14ac:dyDescent="0.3">
      <c r="D232" s="3">
        <v>23</v>
      </c>
      <c r="E232" s="19">
        <f t="shared" si="3"/>
        <v>46076</v>
      </c>
      <c r="F232" s="20"/>
      <c r="G232" s="20"/>
      <c r="H232" s="25"/>
      <c r="I232" s="21"/>
      <c r="J232" s="22"/>
      <c r="L232" s="41"/>
    </row>
    <row r="233" spans="4:12" x14ac:dyDescent="0.3">
      <c r="D233" s="3">
        <v>24</v>
      </c>
      <c r="E233" s="15">
        <f t="shared" si="3"/>
        <v>46077</v>
      </c>
      <c r="F233" s="16"/>
      <c r="G233" s="16"/>
      <c r="H233" s="23"/>
      <c r="I233" s="17"/>
      <c r="J233" s="18"/>
    </row>
    <row r="234" spans="4:12" x14ac:dyDescent="0.3">
      <c r="D234" s="3">
        <v>24</v>
      </c>
      <c r="E234" s="9">
        <f t="shared" si="3"/>
        <v>46077</v>
      </c>
      <c r="F234" s="8"/>
      <c r="G234" s="8"/>
      <c r="H234" s="24"/>
      <c r="I234" s="7"/>
      <c r="J234" s="10"/>
    </row>
    <row r="235" spans="4:12" x14ac:dyDescent="0.3">
      <c r="D235" s="3">
        <v>24</v>
      </c>
      <c r="E235" s="9">
        <f t="shared" si="3"/>
        <v>46077</v>
      </c>
      <c r="F235" s="8"/>
      <c r="G235" s="8"/>
      <c r="H235" s="24"/>
      <c r="I235" s="7"/>
      <c r="J235" s="10"/>
    </row>
    <row r="236" spans="4:12" x14ac:dyDescent="0.3">
      <c r="D236" s="3">
        <v>24</v>
      </c>
      <c r="E236" s="9">
        <f t="shared" si="3"/>
        <v>46077</v>
      </c>
      <c r="F236" s="8"/>
      <c r="G236" s="8"/>
      <c r="H236" s="24"/>
      <c r="I236" s="7"/>
      <c r="J236" s="10"/>
    </row>
    <row r="237" spans="4:12" x14ac:dyDescent="0.3">
      <c r="D237" s="3">
        <v>24</v>
      </c>
      <c r="E237" s="9">
        <f t="shared" si="3"/>
        <v>46077</v>
      </c>
      <c r="F237" s="8"/>
      <c r="G237" s="8"/>
      <c r="H237" s="24"/>
      <c r="I237" s="7"/>
      <c r="J237" s="10"/>
    </row>
    <row r="238" spans="4:12" x14ac:dyDescent="0.3">
      <c r="D238" s="3">
        <v>24</v>
      </c>
      <c r="E238" s="9">
        <f t="shared" si="3"/>
        <v>46077</v>
      </c>
      <c r="F238" s="8"/>
      <c r="G238" s="8"/>
      <c r="H238" s="24"/>
      <c r="I238" s="7"/>
      <c r="J238" s="10"/>
    </row>
    <row r="239" spans="4:12" x14ac:dyDescent="0.3">
      <c r="D239" s="3">
        <v>24</v>
      </c>
      <c r="E239" s="9">
        <f t="shared" si="3"/>
        <v>46077</v>
      </c>
      <c r="F239" s="8"/>
      <c r="G239" s="8"/>
      <c r="H239" s="24"/>
      <c r="I239" s="7"/>
      <c r="J239" s="10"/>
    </row>
    <row r="240" spans="4:12" x14ac:dyDescent="0.3">
      <c r="D240" s="3">
        <v>24</v>
      </c>
      <c r="E240" s="9">
        <f t="shared" si="3"/>
        <v>46077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46077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46077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46078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46078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46078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46078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46078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46078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46078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46078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46078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46078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46079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46079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46079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46079</v>
      </c>
      <c r="F256" s="8"/>
      <c r="G256" s="8"/>
      <c r="H256" s="24"/>
      <c r="I256" s="7"/>
      <c r="J256" s="10"/>
    </row>
    <row r="257" spans="4:10" x14ac:dyDescent="0.3">
      <c r="D257" s="3">
        <v>26</v>
      </c>
      <c r="E257" s="9">
        <f t="shared" si="3"/>
        <v>46079</v>
      </c>
      <c r="F257" s="8"/>
      <c r="G257" s="8"/>
      <c r="H257" s="24"/>
      <c r="I257" s="7"/>
      <c r="J257" s="10"/>
    </row>
    <row r="258" spans="4:10" x14ac:dyDescent="0.3">
      <c r="D258" s="3">
        <v>26</v>
      </c>
      <c r="E258" s="9">
        <f t="shared" si="3"/>
        <v>46079</v>
      </c>
      <c r="F258" s="8"/>
      <c r="G258" s="8"/>
      <c r="H258" s="24"/>
      <c r="I258" s="7"/>
      <c r="J258" s="10"/>
    </row>
    <row r="259" spans="4:10" x14ac:dyDescent="0.3">
      <c r="D259" s="3">
        <v>26</v>
      </c>
      <c r="E259" s="9">
        <f t="shared" si="3"/>
        <v>46079</v>
      </c>
      <c r="F259" s="8"/>
      <c r="G259" s="8"/>
      <c r="H259" s="24"/>
      <c r="I259" s="7"/>
      <c r="J259" s="10"/>
    </row>
    <row r="260" spans="4:10" x14ac:dyDescent="0.3">
      <c r="D260" s="3">
        <v>26</v>
      </c>
      <c r="E260" s="9">
        <f t="shared" ref="E260:E282" si="4">DATE($B$1,$B$2,$D260)</f>
        <v>46079</v>
      </c>
      <c r="F260" s="8"/>
      <c r="G260" s="8"/>
      <c r="H260" s="24"/>
      <c r="I260" s="7"/>
      <c r="J260" s="10"/>
    </row>
    <row r="261" spans="4:10" x14ac:dyDescent="0.3">
      <c r="D261" s="3">
        <v>26</v>
      </c>
      <c r="E261" s="9">
        <f t="shared" si="4"/>
        <v>46079</v>
      </c>
      <c r="F261" s="8"/>
      <c r="G261" s="8"/>
      <c r="H261" s="24"/>
      <c r="I261" s="7"/>
      <c r="J261" s="10"/>
    </row>
    <row r="262" spans="4:10" x14ac:dyDescent="0.3">
      <c r="D262" s="3">
        <v>26</v>
      </c>
      <c r="E262" s="19">
        <f t="shared" si="4"/>
        <v>46079</v>
      </c>
      <c r="F262" s="20"/>
      <c r="G262" s="20"/>
      <c r="H262" s="25"/>
      <c r="I262" s="21"/>
      <c r="J262" s="22"/>
    </row>
    <row r="263" spans="4:10" x14ac:dyDescent="0.3">
      <c r="D263" s="3">
        <v>27</v>
      </c>
      <c r="E263" s="15">
        <f t="shared" si="4"/>
        <v>46080</v>
      </c>
      <c r="F263" s="16"/>
      <c r="G263" s="16"/>
      <c r="H263" s="23"/>
      <c r="I263" s="17"/>
      <c r="J263" s="18"/>
    </row>
    <row r="264" spans="4:10" x14ac:dyDescent="0.3">
      <c r="D264" s="3">
        <v>27</v>
      </c>
      <c r="E264" s="9">
        <f t="shared" si="4"/>
        <v>46080</v>
      </c>
      <c r="F264" s="8"/>
      <c r="G264" s="8"/>
      <c r="H264" s="24"/>
      <c r="I264" s="7"/>
      <c r="J264" s="10"/>
    </row>
    <row r="265" spans="4:10" x14ac:dyDescent="0.3">
      <c r="D265" s="3">
        <v>27</v>
      </c>
      <c r="E265" s="9">
        <f t="shared" si="4"/>
        <v>46080</v>
      </c>
      <c r="F265" s="8"/>
      <c r="G265" s="8"/>
      <c r="H265" s="24"/>
      <c r="I265" s="7"/>
      <c r="J265" s="10"/>
    </row>
    <row r="266" spans="4:10" x14ac:dyDescent="0.3">
      <c r="D266" s="3">
        <v>27</v>
      </c>
      <c r="E266" s="9">
        <f t="shared" si="4"/>
        <v>46080</v>
      </c>
      <c r="F266" s="8"/>
      <c r="G266" s="8"/>
      <c r="H266" s="24"/>
      <c r="I266" s="7"/>
      <c r="J266" s="10"/>
    </row>
    <row r="267" spans="4:10" x14ac:dyDescent="0.3">
      <c r="D267" s="3">
        <v>27</v>
      </c>
      <c r="E267" s="9">
        <f t="shared" si="4"/>
        <v>46080</v>
      </c>
      <c r="F267" s="8"/>
      <c r="G267" s="8"/>
      <c r="H267" s="24"/>
      <c r="I267" s="7"/>
      <c r="J267" s="10"/>
    </row>
    <row r="268" spans="4:10" x14ac:dyDescent="0.3">
      <c r="D268" s="3">
        <v>27</v>
      </c>
      <c r="E268" s="9">
        <f t="shared" si="4"/>
        <v>46080</v>
      </c>
      <c r="F268" s="8"/>
      <c r="G268" s="8"/>
      <c r="H268" s="24"/>
      <c r="I268" s="7"/>
      <c r="J268" s="10"/>
    </row>
    <row r="269" spans="4:10" x14ac:dyDescent="0.3">
      <c r="D269" s="3">
        <v>27</v>
      </c>
      <c r="E269" s="9">
        <f t="shared" si="4"/>
        <v>46080</v>
      </c>
      <c r="F269" s="8"/>
      <c r="G269" s="8"/>
      <c r="H269" s="24"/>
      <c r="I269" s="7"/>
      <c r="J269" s="10"/>
    </row>
    <row r="270" spans="4:10" x14ac:dyDescent="0.3">
      <c r="D270" s="3">
        <v>27</v>
      </c>
      <c r="E270" s="9">
        <f t="shared" si="4"/>
        <v>46080</v>
      </c>
      <c r="F270" s="8"/>
      <c r="G270" s="8"/>
      <c r="H270" s="24"/>
      <c r="I270" s="7"/>
      <c r="J270" s="10"/>
    </row>
    <row r="271" spans="4:10" x14ac:dyDescent="0.3">
      <c r="D271" s="3">
        <v>27</v>
      </c>
      <c r="E271" s="9">
        <f t="shared" si="4"/>
        <v>46080</v>
      </c>
      <c r="F271" s="8"/>
      <c r="G271" s="8"/>
      <c r="H271" s="24"/>
      <c r="I271" s="7"/>
      <c r="J271" s="10"/>
    </row>
    <row r="272" spans="4:10" x14ac:dyDescent="0.3">
      <c r="D272" s="3">
        <v>27</v>
      </c>
      <c r="E272" s="19">
        <f t="shared" si="4"/>
        <v>46080</v>
      </c>
      <c r="F272" s="20"/>
      <c r="G272" s="20"/>
      <c r="H272" s="25"/>
      <c r="I272" s="21"/>
      <c r="J272" s="22"/>
    </row>
    <row r="273" spans="4:12" x14ac:dyDescent="0.3">
      <c r="D273" s="3">
        <v>28</v>
      </c>
      <c r="E273" s="15">
        <f t="shared" si="4"/>
        <v>46081</v>
      </c>
      <c r="F273" s="16"/>
      <c r="G273" s="16"/>
      <c r="H273" s="23"/>
      <c r="I273" s="17"/>
      <c r="J273" s="18"/>
    </row>
    <row r="274" spans="4:12" x14ac:dyDescent="0.3">
      <c r="D274" s="3">
        <v>28</v>
      </c>
      <c r="E274" s="9">
        <f t="shared" si="4"/>
        <v>46081</v>
      </c>
      <c r="F274" s="8"/>
      <c r="G274" s="8"/>
      <c r="H274" s="24"/>
      <c r="I274" s="7"/>
      <c r="J274" s="10"/>
    </row>
    <row r="275" spans="4:12" x14ac:dyDescent="0.3">
      <c r="D275" s="3">
        <v>28</v>
      </c>
      <c r="E275" s="9">
        <f t="shared" si="4"/>
        <v>46081</v>
      </c>
      <c r="F275" s="8"/>
      <c r="G275" s="8"/>
      <c r="H275" s="24"/>
      <c r="I275" s="7"/>
      <c r="J275" s="10"/>
    </row>
    <row r="276" spans="4:12" x14ac:dyDescent="0.3">
      <c r="D276" s="3">
        <v>28</v>
      </c>
      <c r="E276" s="9">
        <f t="shared" si="4"/>
        <v>46081</v>
      </c>
      <c r="F276" s="8"/>
      <c r="G276" s="8"/>
      <c r="H276" s="24"/>
      <c r="I276" s="7"/>
      <c r="J276" s="10"/>
    </row>
    <row r="277" spans="4:12" x14ac:dyDescent="0.3">
      <c r="D277" s="3">
        <v>28</v>
      </c>
      <c r="E277" s="9">
        <f t="shared" si="4"/>
        <v>46081</v>
      </c>
      <c r="F277" s="8"/>
      <c r="G277" s="8"/>
      <c r="H277" s="24"/>
      <c r="I277" s="7"/>
      <c r="J277" s="10"/>
    </row>
    <row r="278" spans="4:12" x14ac:dyDescent="0.3">
      <c r="D278" s="3">
        <v>28</v>
      </c>
      <c r="E278" s="9">
        <f t="shared" si="4"/>
        <v>46081</v>
      </c>
      <c r="F278" s="8"/>
      <c r="G278" s="8"/>
      <c r="H278" s="24"/>
      <c r="I278" s="7"/>
      <c r="J278" s="10"/>
    </row>
    <row r="279" spans="4:12" x14ac:dyDescent="0.3">
      <c r="D279" s="3">
        <v>28</v>
      </c>
      <c r="E279" s="9">
        <f t="shared" si="4"/>
        <v>46081</v>
      </c>
      <c r="F279" s="8"/>
      <c r="G279" s="8"/>
      <c r="H279" s="24"/>
      <c r="I279" s="7"/>
      <c r="J279" s="10"/>
    </row>
    <row r="280" spans="4:12" x14ac:dyDescent="0.3">
      <c r="D280" s="3">
        <v>28</v>
      </c>
      <c r="E280" s="9">
        <f t="shared" si="4"/>
        <v>46081</v>
      </c>
      <c r="F280" s="8"/>
      <c r="G280" s="8"/>
      <c r="H280" s="24"/>
      <c r="I280" s="7"/>
      <c r="J280" s="10"/>
    </row>
    <row r="281" spans="4:12" x14ac:dyDescent="0.3">
      <c r="D281" s="3">
        <v>28</v>
      </c>
      <c r="E281" s="9">
        <f t="shared" si="4"/>
        <v>46081</v>
      </c>
      <c r="F281" s="8"/>
      <c r="G281" s="8"/>
      <c r="H281" s="24"/>
      <c r="I281" s="7"/>
      <c r="J281" s="10"/>
    </row>
    <row r="282" spans="4:12" ht="14.25" thickBot="1" x14ac:dyDescent="0.35">
      <c r="D282" s="3">
        <v>28</v>
      </c>
      <c r="E282" s="11">
        <f t="shared" si="4"/>
        <v>46081</v>
      </c>
      <c r="F282" s="12"/>
      <c r="G282" s="12"/>
      <c r="H282" s="26"/>
      <c r="I282" s="13"/>
      <c r="J282" s="14"/>
      <c r="L282" s="41"/>
    </row>
    <row r="283" spans="4:12" x14ac:dyDescent="0.3">
      <c r="F283" s="6"/>
      <c r="G283" s="6"/>
    </row>
    <row r="284" spans="4:12" x14ac:dyDescent="0.3">
      <c r="F284" s="6"/>
      <c r="G284" s="6"/>
    </row>
    <row r="285" spans="4:12" x14ac:dyDescent="0.3">
      <c r="F285" s="6"/>
      <c r="G285" s="6"/>
    </row>
    <row r="286" spans="4:12" x14ac:dyDescent="0.3">
      <c r="F286" s="6"/>
      <c r="G286" s="6"/>
    </row>
    <row r="287" spans="4:12" x14ac:dyDescent="0.3">
      <c r="F287" s="6"/>
      <c r="G287" s="6"/>
    </row>
    <row r="288" spans="4:12" x14ac:dyDescent="0.3">
      <c r="F288" s="6"/>
      <c r="G288" s="6"/>
    </row>
    <row r="289" spans="6:7" x14ac:dyDescent="0.3">
      <c r="F289" s="6"/>
      <c r="G289" s="6"/>
    </row>
    <row r="290" spans="6:7" x14ac:dyDescent="0.3">
      <c r="F290" s="6"/>
      <c r="G290" s="6"/>
    </row>
    <row r="291" spans="6:7" x14ac:dyDescent="0.3">
      <c r="F291" s="6"/>
      <c r="G291" s="6"/>
    </row>
    <row r="292" spans="6:7" x14ac:dyDescent="0.3">
      <c r="F292" s="6"/>
      <c r="G292" s="6"/>
    </row>
    <row r="293" spans="6:7" x14ac:dyDescent="0.3">
      <c r="F293" s="6"/>
      <c r="G293" s="6"/>
    </row>
    <row r="294" spans="6:7" x14ac:dyDescent="0.3">
      <c r="F294" s="6"/>
      <c r="G294" s="6"/>
    </row>
    <row r="295" spans="6:7" x14ac:dyDescent="0.3">
      <c r="F295" s="6"/>
      <c r="G295" s="6"/>
    </row>
    <row r="296" spans="6:7" x14ac:dyDescent="0.3">
      <c r="F296" s="6"/>
      <c r="G296" s="6"/>
    </row>
    <row r="297" spans="6:7" x14ac:dyDescent="0.3">
      <c r="F297" s="6"/>
      <c r="G297" s="6"/>
    </row>
    <row r="298" spans="6:7" x14ac:dyDescent="0.3">
      <c r="F298" s="6"/>
      <c r="G298" s="6"/>
    </row>
    <row r="299" spans="6:7" x14ac:dyDescent="0.3">
      <c r="F299" s="6"/>
      <c r="G299" s="6"/>
    </row>
    <row r="300" spans="6:7" x14ac:dyDescent="0.3">
      <c r="F300" s="6"/>
      <c r="G300" s="6"/>
    </row>
    <row r="301" spans="6:7" x14ac:dyDescent="0.3">
      <c r="F301" s="6"/>
      <c r="G301" s="6"/>
    </row>
    <row r="302" spans="6:7" x14ac:dyDescent="0.3">
      <c r="F302" s="6"/>
      <c r="G302" s="6"/>
    </row>
    <row r="303" spans="6:7" x14ac:dyDescent="0.3">
      <c r="F303" s="6"/>
      <c r="G303" s="6"/>
    </row>
    <row r="304" spans="6:7" x14ac:dyDescent="0.3">
      <c r="F304" s="6"/>
      <c r="G304" s="6"/>
    </row>
    <row r="305" spans="6:7" x14ac:dyDescent="0.3">
      <c r="F305" s="6"/>
      <c r="G305" s="6"/>
    </row>
    <row r="306" spans="6:7" x14ac:dyDescent="0.3">
      <c r="F306" s="6"/>
      <c r="G306" s="6"/>
    </row>
    <row r="307" spans="6:7" x14ac:dyDescent="0.3">
      <c r="F307" s="6"/>
      <c r="G307" s="6"/>
    </row>
    <row r="308" spans="6:7" x14ac:dyDescent="0.3">
      <c r="F308" s="6"/>
      <c r="G308" s="6"/>
    </row>
    <row r="309" spans="6:7" x14ac:dyDescent="0.3">
      <c r="F309" s="6"/>
      <c r="G309" s="6"/>
    </row>
    <row r="310" spans="6:7" x14ac:dyDescent="0.3">
      <c r="F310" s="6"/>
      <c r="G31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참조!$G$2:$G$3</xm:f>
          </x14:formula1>
          <xm:sqref>G283:G310</xm:sqref>
        </x14:dataValidation>
        <x14:dataValidation type="list" allowBlank="1" showInputMessage="1" showErrorMessage="1">
          <x14:formula1>
            <xm:f>참조!$F$2:$F$3</xm:f>
          </x14:formula1>
          <xm:sqref>F3:F310</xm:sqref>
        </x14:dataValidation>
        <x14:dataValidation type="list" allowBlank="1" showInputMessage="1" showErrorMessage="1">
          <x14:formula1>
            <xm:f>참조!$G:$G</xm:f>
          </x14:formula1>
          <xm:sqref>G3:G282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0"/>
  <sheetViews>
    <sheetView workbookViewId="0">
      <pane ySplit="2" topLeftCell="A3" activePane="bottomLeft" state="frozen"/>
      <selection activeCell="A3" sqref="A3"/>
      <selection pane="bottomLeft" activeCell="C1" sqref="C1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4" ht="14.25" thickBot="1" x14ac:dyDescent="0.35">
      <c r="A1" s="3" t="s">
        <v>22</v>
      </c>
      <c r="B1" s="3">
        <f>'2026년달력'!A1</f>
        <v>2026</v>
      </c>
    </row>
    <row r="2" spans="1:14" ht="14.25" thickBot="1" x14ac:dyDescent="0.35">
      <c r="A2" s="3" t="s">
        <v>1</v>
      </c>
      <c r="B2" s="3">
        <v>3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4" x14ac:dyDescent="0.3">
      <c r="D3" s="3">
        <v>1</v>
      </c>
      <c r="E3" s="15">
        <f>DATE($B$1,$B$2,$D3)</f>
        <v>46082</v>
      </c>
      <c r="F3" s="16"/>
      <c r="G3" s="16"/>
      <c r="H3" s="23"/>
      <c r="I3" s="17"/>
      <c r="J3" s="18"/>
    </row>
    <row r="4" spans="1:14" x14ac:dyDescent="0.3">
      <c r="D4" s="3">
        <v>1</v>
      </c>
      <c r="E4" s="9">
        <f t="shared" ref="E4:E67" si="0">DATE($B$1,$B$2,$D4)</f>
        <v>46082</v>
      </c>
      <c r="F4" s="8"/>
      <c r="G4" s="8"/>
      <c r="H4" s="24"/>
      <c r="I4" s="7"/>
      <c r="J4" s="10"/>
    </row>
    <row r="5" spans="1:14" x14ac:dyDescent="0.3">
      <c r="D5" s="3">
        <v>1</v>
      </c>
      <c r="E5" s="9">
        <f t="shared" si="0"/>
        <v>46082</v>
      </c>
      <c r="F5" s="8"/>
      <c r="G5" s="8"/>
      <c r="H5" s="24"/>
      <c r="I5" s="7"/>
      <c r="J5" s="10"/>
      <c r="L5" s="36"/>
      <c r="N5" s="36"/>
    </row>
    <row r="6" spans="1:14" x14ac:dyDescent="0.3">
      <c r="D6" s="3">
        <v>1</v>
      </c>
      <c r="E6" s="9">
        <f t="shared" si="0"/>
        <v>46082</v>
      </c>
      <c r="F6" s="8"/>
      <c r="G6" s="8"/>
      <c r="H6" s="24"/>
      <c r="I6" s="7"/>
      <c r="J6" s="10"/>
    </row>
    <row r="7" spans="1:14" x14ac:dyDescent="0.3">
      <c r="D7" s="3">
        <v>1</v>
      </c>
      <c r="E7" s="9">
        <f t="shared" si="0"/>
        <v>46082</v>
      </c>
      <c r="F7" s="8"/>
      <c r="G7" s="8"/>
      <c r="H7" s="24"/>
      <c r="I7" s="7"/>
      <c r="J7" s="10"/>
    </row>
    <row r="8" spans="1:14" x14ac:dyDescent="0.3">
      <c r="D8" s="3">
        <v>1</v>
      </c>
      <c r="E8" s="9">
        <f t="shared" si="0"/>
        <v>46082</v>
      </c>
      <c r="F8" s="8"/>
      <c r="G8" s="8"/>
      <c r="H8" s="24"/>
      <c r="I8" s="7"/>
      <c r="J8" s="10"/>
    </row>
    <row r="9" spans="1:14" x14ac:dyDescent="0.3">
      <c r="D9" s="3">
        <v>1</v>
      </c>
      <c r="E9" s="9">
        <f t="shared" si="0"/>
        <v>46082</v>
      </c>
      <c r="F9" s="8"/>
      <c r="G9" s="8"/>
      <c r="H9" s="24"/>
      <c r="I9" s="7"/>
      <c r="J9" s="10"/>
    </row>
    <row r="10" spans="1:14" x14ac:dyDescent="0.3">
      <c r="D10" s="3">
        <v>1</v>
      </c>
      <c r="E10" s="9">
        <f t="shared" si="0"/>
        <v>46082</v>
      </c>
      <c r="F10" s="8"/>
      <c r="G10" s="8"/>
      <c r="H10" s="24"/>
      <c r="I10" s="7"/>
      <c r="J10" s="10"/>
    </row>
    <row r="11" spans="1:14" x14ac:dyDescent="0.3">
      <c r="D11" s="3">
        <v>1</v>
      </c>
      <c r="E11" s="9">
        <f t="shared" si="0"/>
        <v>46082</v>
      </c>
      <c r="F11" s="8"/>
      <c r="G11" s="8"/>
      <c r="H11" s="24"/>
      <c r="I11" s="7"/>
      <c r="J11" s="10"/>
    </row>
    <row r="12" spans="1:14" x14ac:dyDescent="0.3">
      <c r="D12" s="3">
        <v>1</v>
      </c>
      <c r="E12" s="19">
        <f t="shared" si="0"/>
        <v>46082</v>
      </c>
      <c r="F12" s="20"/>
      <c r="G12" s="20"/>
      <c r="H12" s="25"/>
      <c r="I12" s="21"/>
      <c r="J12" s="22"/>
    </row>
    <row r="13" spans="1:14" x14ac:dyDescent="0.3">
      <c r="D13" s="3">
        <v>2</v>
      </c>
      <c r="E13" s="15">
        <f t="shared" si="0"/>
        <v>46083</v>
      </c>
      <c r="F13" s="16"/>
      <c r="G13" s="16"/>
      <c r="H13" s="23"/>
      <c r="I13" s="17"/>
      <c r="J13" s="18"/>
    </row>
    <row r="14" spans="1:14" x14ac:dyDescent="0.3">
      <c r="D14" s="3">
        <v>2</v>
      </c>
      <c r="E14" s="9">
        <f t="shared" si="0"/>
        <v>46083</v>
      </c>
      <c r="F14" s="8"/>
      <c r="G14" s="8"/>
      <c r="H14" s="24"/>
      <c r="I14" s="7"/>
      <c r="J14" s="10"/>
    </row>
    <row r="15" spans="1:14" x14ac:dyDescent="0.3">
      <c r="D15" s="3">
        <v>2</v>
      </c>
      <c r="E15" s="9">
        <f t="shared" si="0"/>
        <v>46083</v>
      </c>
      <c r="F15" s="8"/>
      <c r="G15" s="8"/>
      <c r="H15" s="24"/>
      <c r="I15" s="7"/>
      <c r="J15" s="10"/>
    </row>
    <row r="16" spans="1:14" x14ac:dyDescent="0.3">
      <c r="D16" s="3">
        <v>2</v>
      </c>
      <c r="E16" s="9">
        <f t="shared" si="0"/>
        <v>46083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46083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46083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46083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46083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46083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46083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46084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46084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46084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46084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46084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46084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46084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46084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46084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46084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46085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46085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46085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46085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46085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46085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46085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46085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46085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46085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46086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46086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46086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46086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46086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46086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46086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46086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46086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46086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46087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46087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46087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46087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46087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46087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46087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46087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46087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46087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46088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46088</v>
      </c>
      <c r="F64" s="8"/>
      <c r="G64" s="8"/>
      <c r="H64" s="24"/>
      <c r="I64" s="7"/>
      <c r="J64" s="10"/>
    </row>
    <row r="65" spans="4:12" x14ac:dyDescent="0.3">
      <c r="D65" s="3">
        <v>7</v>
      </c>
      <c r="E65" s="9">
        <f t="shared" si="0"/>
        <v>46088</v>
      </c>
      <c r="F65" s="8"/>
      <c r="G65" s="8"/>
      <c r="H65" s="24"/>
      <c r="I65" s="7"/>
      <c r="J65" s="10"/>
    </row>
    <row r="66" spans="4:12" x14ac:dyDescent="0.3">
      <c r="D66" s="3">
        <v>7</v>
      </c>
      <c r="E66" s="9">
        <f t="shared" si="0"/>
        <v>46088</v>
      </c>
      <c r="F66" s="8"/>
      <c r="G66" s="8"/>
      <c r="H66" s="24"/>
      <c r="I66" s="7"/>
      <c r="J66" s="10"/>
      <c r="L66" s="36"/>
    </row>
    <row r="67" spans="4:12" x14ac:dyDescent="0.3">
      <c r="D67" s="3">
        <v>7</v>
      </c>
      <c r="E67" s="9">
        <f t="shared" si="0"/>
        <v>46088</v>
      </c>
      <c r="F67" s="8"/>
      <c r="G67" s="8"/>
      <c r="H67" s="24"/>
      <c r="I67" s="7"/>
      <c r="J67" s="10"/>
    </row>
    <row r="68" spans="4:12" x14ac:dyDescent="0.3">
      <c r="D68" s="3">
        <v>7</v>
      </c>
      <c r="E68" s="9">
        <f t="shared" ref="E68:E131" si="1">DATE($B$1,$B$2,$D68)</f>
        <v>46088</v>
      </c>
      <c r="F68" s="8"/>
      <c r="G68" s="8"/>
      <c r="H68" s="24"/>
      <c r="I68" s="7"/>
      <c r="J68" s="10"/>
    </row>
    <row r="69" spans="4:12" x14ac:dyDescent="0.3">
      <c r="D69" s="3">
        <v>7</v>
      </c>
      <c r="E69" s="9">
        <f t="shared" si="1"/>
        <v>46088</v>
      </c>
      <c r="F69" s="8"/>
      <c r="G69" s="8"/>
      <c r="H69" s="24"/>
      <c r="I69" s="7"/>
      <c r="J69" s="10"/>
    </row>
    <row r="70" spans="4:12" x14ac:dyDescent="0.3">
      <c r="D70" s="3">
        <v>7</v>
      </c>
      <c r="E70" s="9">
        <f t="shared" si="1"/>
        <v>46088</v>
      </c>
      <c r="F70" s="8"/>
      <c r="G70" s="8"/>
      <c r="H70" s="24"/>
      <c r="I70" s="7"/>
      <c r="J70" s="10"/>
    </row>
    <row r="71" spans="4:12" x14ac:dyDescent="0.3">
      <c r="D71" s="3">
        <v>7</v>
      </c>
      <c r="E71" s="9">
        <f t="shared" si="1"/>
        <v>46088</v>
      </c>
      <c r="F71" s="8"/>
      <c r="G71" s="8"/>
      <c r="H71" s="24"/>
      <c r="I71" s="7"/>
      <c r="J71" s="10"/>
    </row>
    <row r="72" spans="4:12" x14ac:dyDescent="0.3">
      <c r="D72" s="3">
        <v>7</v>
      </c>
      <c r="E72" s="19">
        <f t="shared" si="1"/>
        <v>46088</v>
      </c>
      <c r="F72" s="20"/>
      <c r="G72" s="20"/>
      <c r="H72" s="25"/>
      <c r="I72" s="21"/>
      <c r="J72" s="22"/>
    </row>
    <row r="73" spans="4:12" x14ac:dyDescent="0.3">
      <c r="D73" s="3">
        <v>8</v>
      </c>
      <c r="E73" s="15">
        <f t="shared" si="1"/>
        <v>46089</v>
      </c>
      <c r="F73" s="16"/>
      <c r="G73" s="16"/>
      <c r="H73" s="23"/>
      <c r="I73" s="17"/>
      <c r="J73" s="18"/>
    </row>
    <row r="74" spans="4:12" x14ac:dyDescent="0.3">
      <c r="D74" s="3">
        <v>8</v>
      </c>
      <c r="E74" s="9">
        <f t="shared" si="1"/>
        <v>46089</v>
      </c>
      <c r="F74" s="8"/>
      <c r="G74" s="8"/>
      <c r="H74" s="24"/>
      <c r="I74" s="7"/>
      <c r="J74" s="10"/>
    </row>
    <row r="75" spans="4:12" x14ac:dyDescent="0.3">
      <c r="D75" s="3">
        <v>8</v>
      </c>
      <c r="E75" s="9">
        <f t="shared" si="1"/>
        <v>46089</v>
      </c>
      <c r="F75" s="8"/>
      <c r="G75" s="8"/>
      <c r="H75" s="24"/>
      <c r="I75" s="7"/>
      <c r="J75" s="10"/>
    </row>
    <row r="76" spans="4:12" x14ac:dyDescent="0.3">
      <c r="D76" s="3">
        <v>8</v>
      </c>
      <c r="E76" s="9">
        <f t="shared" si="1"/>
        <v>46089</v>
      </c>
      <c r="F76" s="8"/>
      <c r="G76" s="8"/>
      <c r="H76" s="24"/>
      <c r="I76" s="7"/>
      <c r="J76" s="10"/>
    </row>
    <row r="77" spans="4:12" x14ac:dyDescent="0.3">
      <c r="D77" s="3">
        <v>8</v>
      </c>
      <c r="E77" s="9">
        <f t="shared" si="1"/>
        <v>46089</v>
      </c>
      <c r="F77" s="8"/>
      <c r="G77" s="8"/>
      <c r="H77" s="24"/>
      <c r="I77" s="7"/>
      <c r="J77" s="10"/>
    </row>
    <row r="78" spans="4:12" x14ac:dyDescent="0.3">
      <c r="D78" s="3">
        <v>8</v>
      </c>
      <c r="E78" s="9">
        <f t="shared" si="1"/>
        <v>46089</v>
      </c>
      <c r="F78" s="8"/>
      <c r="G78" s="8"/>
      <c r="H78" s="24"/>
      <c r="I78" s="7"/>
      <c r="J78" s="10"/>
    </row>
    <row r="79" spans="4:12" x14ac:dyDescent="0.3">
      <c r="D79" s="3">
        <v>8</v>
      </c>
      <c r="E79" s="9">
        <f t="shared" si="1"/>
        <v>46089</v>
      </c>
      <c r="F79" s="8"/>
      <c r="G79" s="8"/>
      <c r="H79" s="24"/>
      <c r="I79" s="7"/>
      <c r="J79" s="10"/>
    </row>
    <row r="80" spans="4:12" x14ac:dyDescent="0.3">
      <c r="D80" s="3">
        <v>8</v>
      </c>
      <c r="E80" s="9">
        <f t="shared" si="1"/>
        <v>46089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46089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46089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46090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46090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46090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46090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46090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46090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46090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46090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46090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46090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46091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46091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46091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46091</v>
      </c>
      <c r="F96" s="8"/>
      <c r="G96" s="8"/>
      <c r="H96" s="24"/>
      <c r="I96" s="7"/>
      <c r="J96" s="10"/>
    </row>
    <row r="97" spans="4:10" x14ac:dyDescent="0.3">
      <c r="D97" s="3">
        <v>10</v>
      </c>
      <c r="E97" s="9">
        <f t="shared" si="1"/>
        <v>46091</v>
      </c>
      <c r="F97" s="8"/>
      <c r="G97" s="8"/>
      <c r="H97" s="24"/>
      <c r="I97" s="7"/>
      <c r="J97" s="10"/>
    </row>
    <row r="98" spans="4:10" x14ac:dyDescent="0.3">
      <c r="D98" s="3">
        <v>10</v>
      </c>
      <c r="E98" s="9">
        <f t="shared" si="1"/>
        <v>46091</v>
      </c>
      <c r="F98" s="8"/>
      <c r="G98" s="8"/>
      <c r="H98" s="24"/>
      <c r="I98" s="7"/>
      <c r="J98" s="10"/>
    </row>
    <row r="99" spans="4:10" x14ac:dyDescent="0.3">
      <c r="D99" s="3">
        <v>10</v>
      </c>
      <c r="E99" s="9">
        <f t="shared" si="1"/>
        <v>46091</v>
      </c>
      <c r="F99" s="8"/>
      <c r="G99" s="8"/>
      <c r="H99" s="24"/>
      <c r="I99" s="7"/>
      <c r="J99" s="10"/>
    </row>
    <row r="100" spans="4:10" x14ac:dyDescent="0.3">
      <c r="D100" s="3">
        <v>10</v>
      </c>
      <c r="E100" s="9">
        <f t="shared" si="1"/>
        <v>46091</v>
      </c>
      <c r="F100" s="8"/>
      <c r="G100" s="8"/>
      <c r="H100" s="24"/>
      <c r="I100" s="7"/>
      <c r="J100" s="10"/>
    </row>
    <row r="101" spans="4:10" x14ac:dyDescent="0.3">
      <c r="D101" s="3">
        <v>10</v>
      </c>
      <c r="E101" s="9">
        <f t="shared" si="1"/>
        <v>46091</v>
      </c>
      <c r="F101" s="8"/>
      <c r="G101" s="8"/>
      <c r="H101" s="24"/>
      <c r="I101" s="7"/>
      <c r="J101" s="10"/>
    </row>
    <row r="102" spans="4:10" x14ac:dyDescent="0.3">
      <c r="D102" s="3">
        <v>10</v>
      </c>
      <c r="E102" s="19">
        <f t="shared" si="1"/>
        <v>46091</v>
      </c>
      <c r="F102" s="20"/>
      <c r="G102" s="20"/>
      <c r="H102" s="25"/>
      <c r="I102" s="21"/>
      <c r="J102" s="22"/>
    </row>
    <row r="103" spans="4:10" x14ac:dyDescent="0.3">
      <c r="D103" s="3">
        <v>11</v>
      </c>
      <c r="E103" s="15">
        <f t="shared" si="1"/>
        <v>46092</v>
      </c>
      <c r="F103" s="16"/>
      <c r="G103" s="16"/>
      <c r="H103" s="23"/>
      <c r="I103" s="17"/>
      <c r="J103" s="18"/>
    </row>
    <row r="104" spans="4:10" x14ac:dyDescent="0.3">
      <c r="D104" s="3">
        <v>11</v>
      </c>
      <c r="E104" s="9">
        <f t="shared" si="1"/>
        <v>46092</v>
      </c>
      <c r="F104" s="8"/>
      <c r="G104" s="8"/>
      <c r="H104" s="24"/>
      <c r="I104" s="7"/>
      <c r="J104" s="10"/>
    </row>
    <row r="105" spans="4:10" x14ac:dyDescent="0.3">
      <c r="D105" s="3">
        <v>11</v>
      </c>
      <c r="E105" s="9">
        <f t="shared" si="1"/>
        <v>46092</v>
      </c>
      <c r="F105" s="8"/>
      <c r="G105" s="8"/>
      <c r="H105" s="24"/>
      <c r="I105" s="7"/>
      <c r="J105" s="10"/>
    </row>
    <row r="106" spans="4:10" x14ac:dyDescent="0.3">
      <c r="D106" s="3">
        <v>11</v>
      </c>
      <c r="E106" s="9">
        <f t="shared" si="1"/>
        <v>46092</v>
      </c>
      <c r="F106" s="8"/>
      <c r="G106" s="8"/>
      <c r="H106" s="24"/>
      <c r="I106" s="7"/>
      <c r="J106" s="10"/>
    </row>
    <row r="107" spans="4:10" x14ac:dyDescent="0.3">
      <c r="D107" s="3">
        <v>11</v>
      </c>
      <c r="E107" s="9">
        <f t="shared" si="1"/>
        <v>46092</v>
      </c>
      <c r="F107" s="8"/>
      <c r="G107" s="8"/>
      <c r="H107" s="24"/>
      <c r="I107" s="7"/>
      <c r="J107" s="10"/>
    </row>
    <row r="108" spans="4:10" x14ac:dyDescent="0.3">
      <c r="D108" s="3">
        <v>11</v>
      </c>
      <c r="E108" s="9">
        <f t="shared" si="1"/>
        <v>46092</v>
      </c>
      <c r="F108" s="8"/>
      <c r="G108" s="8"/>
      <c r="H108" s="24"/>
      <c r="I108" s="7"/>
      <c r="J108" s="10"/>
    </row>
    <row r="109" spans="4:10" x14ac:dyDescent="0.3">
      <c r="D109" s="3">
        <v>11</v>
      </c>
      <c r="E109" s="9">
        <f t="shared" si="1"/>
        <v>46092</v>
      </c>
      <c r="F109" s="8"/>
      <c r="G109" s="8"/>
      <c r="H109" s="24"/>
      <c r="I109" s="7"/>
      <c r="J109" s="10"/>
    </row>
    <row r="110" spans="4:10" x14ac:dyDescent="0.3">
      <c r="D110" s="3">
        <v>11</v>
      </c>
      <c r="E110" s="9">
        <f t="shared" si="1"/>
        <v>46092</v>
      </c>
      <c r="F110" s="8"/>
      <c r="G110" s="8"/>
      <c r="H110" s="24"/>
      <c r="I110" s="7"/>
      <c r="J110" s="10"/>
    </row>
    <row r="111" spans="4:10" x14ac:dyDescent="0.3">
      <c r="D111" s="3">
        <v>11</v>
      </c>
      <c r="E111" s="9">
        <f t="shared" si="1"/>
        <v>46092</v>
      </c>
      <c r="F111" s="8"/>
      <c r="G111" s="8"/>
      <c r="H111" s="24"/>
      <c r="I111" s="7"/>
      <c r="J111" s="10"/>
    </row>
    <row r="112" spans="4:10" x14ac:dyDescent="0.3">
      <c r="D112" s="3">
        <v>11</v>
      </c>
      <c r="E112" s="19">
        <f t="shared" si="1"/>
        <v>46092</v>
      </c>
      <c r="F112" s="20"/>
      <c r="G112" s="20"/>
      <c r="H112" s="25"/>
      <c r="I112" s="21"/>
      <c r="J112" s="22"/>
    </row>
    <row r="113" spans="4:12" x14ac:dyDescent="0.3">
      <c r="D113" s="3">
        <v>12</v>
      </c>
      <c r="E113" s="15">
        <f t="shared" si="1"/>
        <v>46093</v>
      </c>
      <c r="F113" s="16"/>
      <c r="G113" s="16"/>
      <c r="H113" s="23"/>
      <c r="I113" s="17"/>
      <c r="J113" s="18"/>
    </row>
    <row r="114" spans="4:12" x14ac:dyDescent="0.3">
      <c r="D114" s="3">
        <v>12</v>
      </c>
      <c r="E114" s="9">
        <f t="shared" si="1"/>
        <v>46093</v>
      </c>
      <c r="F114" s="8"/>
      <c r="G114" s="8"/>
      <c r="H114" s="24"/>
      <c r="I114" s="7"/>
      <c r="J114" s="10"/>
      <c r="L114" s="36"/>
    </row>
    <row r="115" spans="4:12" x14ac:dyDescent="0.3">
      <c r="D115" s="3">
        <v>12</v>
      </c>
      <c r="E115" s="9">
        <f t="shared" si="1"/>
        <v>46093</v>
      </c>
      <c r="F115" s="8"/>
      <c r="G115" s="8"/>
      <c r="H115" s="24"/>
      <c r="I115" s="7"/>
      <c r="J115" s="10"/>
    </row>
    <row r="116" spans="4:12" x14ac:dyDescent="0.3">
      <c r="D116" s="3">
        <v>12</v>
      </c>
      <c r="E116" s="9">
        <f t="shared" si="1"/>
        <v>46093</v>
      </c>
      <c r="F116" s="8"/>
      <c r="G116" s="8"/>
      <c r="H116" s="24"/>
      <c r="I116" s="7"/>
      <c r="J116" s="10"/>
    </row>
    <row r="117" spans="4:12" x14ac:dyDescent="0.3">
      <c r="D117" s="3">
        <v>12</v>
      </c>
      <c r="E117" s="9">
        <f t="shared" si="1"/>
        <v>46093</v>
      </c>
      <c r="F117" s="8"/>
      <c r="G117" s="8"/>
      <c r="H117" s="24"/>
      <c r="I117" s="7"/>
      <c r="J117" s="10"/>
    </row>
    <row r="118" spans="4:12" x14ac:dyDescent="0.3">
      <c r="D118" s="3">
        <v>12</v>
      </c>
      <c r="E118" s="9">
        <f t="shared" si="1"/>
        <v>46093</v>
      </c>
      <c r="F118" s="8"/>
      <c r="G118" s="8"/>
      <c r="H118" s="24"/>
      <c r="I118" s="7"/>
      <c r="J118" s="10"/>
    </row>
    <row r="119" spans="4:12" x14ac:dyDescent="0.3">
      <c r="D119" s="3">
        <v>12</v>
      </c>
      <c r="E119" s="9">
        <f t="shared" si="1"/>
        <v>46093</v>
      </c>
      <c r="F119" s="8"/>
      <c r="G119" s="8"/>
      <c r="H119" s="24"/>
      <c r="I119" s="7"/>
      <c r="J119" s="10"/>
    </row>
    <row r="120" spans="4:12" x14ac:dyDescent="0.3">
      <c r="D120" s="3">
        <v>12</v>
      </c>
      <c r="E120" s="9">
        <f t="shared" si="1"/>
        <v>46093</v>
      </c>
      <c r="F120" s="8"/>
      <c r="G120" s="8"/>
      <c r="H120" s="24"/>
      <c r="I120" s="7"/>
      <c r="J120" s="10"/>
    </row>
    <row r="121" spans="4:12" x14ac:dyDescent="0.3">
      <c r="D121" s="3">
        <v>12</v>
      </c>
      <c r="E121" s="9">
        <f t="shared" si="1"/>
        <v>46093</v>
      </c>
      <c r="F121" s="8"/>
      <c r="G121" s="8"/>
      <c r="H121" s="24"/>
      <c r="I121" s="7"/>
      <c r="J121" s="10"/>
    </row>
    <row r="122" spans="4:12" x14ac:dyDescent="0.3">
      <c r="D122" s="3">
        <v>12</v>
      </c>
      <c r="E122" s="19">
        <f t="shared" si="1"/>
        <v>46093</v>
      </c>
      <c r="F122" s="20"/>
      <c r="G122" s="20"/>
      <c r="H122" s="25"/>
      <c r="I122" s="21"/>
      <c r="J122" s="22"/>
    </row>
    <row r="123" spans="4:12" x14ac:dyDescent="0.3">
      <c r="D123" s="3">
        <v>13</v>
      </c>
      <c r="E123" s="15">
        <f t="shared" si="1"/>
        <v>46094</v>
      </c>
      <c r="F123" s="16"/>
      <c r="G123" s="16"/>
      <c r="H123" s="23"/>
      <c r="I123" s="17"/>
      <c r="J123" s="18"/>
    </row>
    <row r="124" spans="4:12" x14ac:dyDescent="0.3">
      <c r="D124" s="3">
        <v>13</v>
      </c>
      <c r="E124" s="9">
        <f t="shared" si="1"/>
        <v>46094</v>
      </c>
      <c r="F124" s="8"/>
      <c r="G124" s="8"/>
      <c r="H124" s="24"/>
      <c r="I124" s="7"/>
      <c r="J124" s="10"/>
    </row>
    <row r="125" spans="4:12" x14ac:dyDescent="0.3">
      <c r="D125" s="3">
        <v>13</v>
      </c>
      <c r="E125" s="9">
        <f t="shared" si="1"/>
        <v>46094</v>
      </c>
      <c r="F125" s="8"/>
      <c r="G125" s="8"/>
      <c r="H125" s="24"/>
      <c r="I125" s="7"/>
      <c r="J125" s="10"/>
    </row>
    <row r="126" spans="4:12" x14ac:dyDescent="0.3">
      <c r="D126" s="3">
        <v>13</v>
      </c>
      <c r="E126" s="9">
        <f t="shared" si="1"/>
        <v>46094</v>
      </c>
      <c r="F126" s="8"/>
      <c r="G126" s="8"/>
      <c r="H126" s="24"/>
      <c r="I126" s="7"/>
      <c r="J126" s="10"/>
    </row>
    <row r="127" spans="4:12" x14ac:dyDescent="0.3">
      <c r="D127" s="3">
        <v>13</v>
      </c>
      <c r="E127" s="9">
        <f t="shared" si="1"/>
        <v>46094</v>
      </c>
      <c r="F127" s="8"/>
      <c r="G127" s="8"/>
      <c r="H127" s="24"/>
      <c r="I127" s="7"/>
      <c r="J127" s="10"/>
    </row>
    <row r="128" spans="4:12" x14ac:dyDescent="0.3">
      <c r="D128" s="3">
        <v>13</v>
      </c>
      <c r="E128" s="9">
        <f t="shared" si="1"/>
        <v>46094</v>
      </c>
      <c r="F128" s="8"/>
      <c r="G128" s="8"/>
      <c r="H128" s="24"/>
      <c r="I128" s="7"/>
      <c r="J128" s="10"/>
    </row>
    <row r="129" spans="4:10" x14ac:dyDescent="0.3">
      <c r="D129" s="3">
        <v>13</v>
      </c>
      <c r="E129" s="9">
        <f t="shared" si="1"/>
        <v>46094</v>
      </c>
      <c r="F129" s="8"/>
      <c r="G129" s="8"/>
      <c r="H129" s="24"/>
      <c r="I129" s="7"/>
      <c r="J129" s="10"/>
    </row>
    <row r="130" spans="4:10" x14ac:dyDescent="0.3">
      <c r="D130" s="3">
        <v>13</v>
      </c>
      <c r="E130" s="9">
        <f t="shared" si="1"/>
        <v>46094</v>
      </c>
      <c r="F130" s="8"/>
      <c r="G130" s="8"/>
      <c r="H130" s="24"/>
      <c r="I130" s="7"/>
      <c r="J130" s="10"/>
    </row>
    <row r="131" spans="4:10" x14ac:dyDescent="0.3">
      <c r="D131" s="3">
        <v>13</v>
      </c>
      <c r="E131" s="9">
        <f t="shared" si="1"/>
        <v>46094</v>
      </c>
      <c r="F131" s="8"/>
      <c r="G131" s="8"/>
      <c r="H131" s="24"/>
      <c r="I131" s="7"/>
      <c r="J131" s="10"/>
    </row>
    <row r="132" spans="4:10" x14ac:dyDescent="0.3">
      <c r="D132" s="3">
        <v>13</v>
      </c>
      <c r="E132" s="19">
        <f t="shared" ref="E132:E195" si="2">DATE($B$1,$B$2,$D132)</f>
        <v>46094</v>
      </c>
      <c r="F132" s="20"/>
      <c r="G132" s="20"/>
      <c r="H132" s="25"/>
      <c r="I132" s="21"/>
      <c r="J132" s="22"/>
    </row>
    <row r="133" spans="4:10" x14ac:dyDescent="0.3">
      <c r="D133" s="3">
        <v>14</v>
      </c>
      <c r="E133" s="15">
        <f t="shared" si="2"/>
        <v>46095</v>
      </c>
      <c r="F133" s="16"/>
      <c r="G133" s="16"/>
      <c r="H133" s="23"/>
      <c r="I133" s="17"/>
      <c r="J133" s="18"/>
    </row>
    <row r="134" spans="4:10" x14ac:dyDescent="0.3">
      <c r="D134" s="3">
        <v>14</v>
      </c>
      <c r="E134" s="9">
        <f t="shared" si="2"/>
        <v>46095</v>
      </c>
      <c r="F134" s="8"/>
      <c r="G134" s="8"/>
      <c r="H134" s="24"/>
      <c r="I134" s="7"/>
      <c r="J134" s="10"/>
    </row>
    <row r="135" spans="4:10" x14ac:dyDescent="0.3">
      <c r="D135" s="3">
        <v>14</v>
      </c>
      <c r="E135" s="9">
        <f t="shared" si="2"/>
        <v>46095</v>
      </c>
      <c r="F135" s="8"/>
      <c r="G135" s="8"/>
      <c r="H135" s="24"/>
      <c r="I135" s="7"/>
      <c r="J135" s="10"/>
    </row>
    <row r="136" spans="4:10" x14ac:dyDescent="0.3">
      <c r="D136" s="3">
        <v>14</v>
      </c>
      <c r="E136" s="9">
        <f t="shared" si="2"/>
        <v>46095</v>
      </c>
      <c r="F136" s="8"/>
      <c r="G136" s="8"/>
      <c r="H136" s="24"/>
      <c r="I136" s="7"/>
      <c r="J136" s="10"/>
    </row>
    <row r="137" spans="4:10" x14ac:dyDescent="0.3">
      <c r="D137" s="3">
        <v>14</v>
      </c>
      <c r="E137" s="9">
        <f t="shared" si="2"/>
        <v>46095</v>
      </c>
      <c r="F137" s="8"/>
      <c r="G137" s="8"/>
      <c r="H137" s="24"/>
      <c r="I137" s="7"/>
      <c r="J137" s="10"/>
    </row>
    <row r="138" spans="4:10" x14ac:dyDescent="0.3">
      <c r="D138" s="3">
        <v>14</v>
      </c>
      <c r="E138" s="9">
        <f t="shared" si="2"/>
        <v>46095</v>
      </c>
      <c r="F138" s="8"/>
      <c r="G138" s="8"/>
      <c r="H138" s="24"/>
      <c r="I138" s="7"/>
      <c r="J138" s="10"/>
    </row>
    <row r="139" spans="4:10" x14ac:dyDescent="0.3">
      <c r="D139" s="3">
        <v>14</v>
      </c>
      <c r="E139" s="9">
        <f t="shared" si="2"/>
        <v>46095</v>
      </c>
      <c r="F139" s="8"/>
      <c r="G139" s="8"/>
      <c r="H139" s="24"/>
      <c r="I139" s="7"/>
      <c r="J139" s="10"/>
    </row>
    <row r="140" spans="4:10" x14ac:dyDescent="0.3">
      <c r="D140" s="3">
        <v>14</v>
      </c>
      <c r="E140" s="9">
        <f t="shared" si="2"/>
        <v>46095</v>
      </c>
      <c r="F140" s="8"/>
      <c r="G140" s="8"/>
      <c r="H140" s="24"/>
      <c r="I140" s="7"/>
      <c r="J140" s="10"/>
    </row>
    <row r="141" spans="4:10" x14ac:dyDescent="0.3">
      <c r="D141" s="3">
        <v>14</v>
      </c>
      <c r="E141" s="9">
        <f t="shared" si="2"/>
        <v>46095</v>
      </c>
      <c r="F141" s="8"/>
      <c r="G141" s="8"/>
      <c r="H141" s="24"/>
      <c r="I141" s="7"/>
      <c r="J141" s="10"/>
    </row>
    <row r="142" spans="4:10" x14ac:dyDescent="0.3">
      <c r="D142" s="3">
        <v>14</v>
      </c>
      <c r="E142" s="19">
        <f t="shared" si="2"/>
        <v>46095</v>
      </c>
      <c r="F142" s="20"/>
      <c r="G142" s="20"/>
      <c r="H142" s="25"/>
      <c r="I142" s="21"/>
      <c r="J142" s="22"/>
    </row>
    <row r="143" spans="4:10" x14ac:dyDescent="0.3">
      <c r="D143" s="3">
        <v>15</v>
      </c>
      <c r="E143" s="15">
        <f t="shared" si="2"/>
        <v>46096</v>
      </c>
      <c r="F143" s="16"/>
      <c r="G143" s="16"/>
      <c r="H143" s="23"/>
      <c r="I143" s="17"/>
      <c r="J143" s="18"/>
    </row>
    <row r="144" spans="4:10" x14ac:dyDescent="0.3">
      <c r="D144" s="3">
        <v>15</v>
      </c>
      <c r="E144" s="9">
        <f t="shared" si="2"/>
        <v>46096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46096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46096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46096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46096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46096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46096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46096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46096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46097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46097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46097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46097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46097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46097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46097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46097</v>
      </c>
      <c r="F160" s="8"/>
      <c r="G160" s="8"/>
      <c r="H160" s="24"/>
      <c r="I160" s="7"/>
      <c r="J160" s="10"/>
    </row>
    <row r="161" spans="4:12" x14ac:dyDescent="0.3">
      <c r="D161" s="3">
        <v>16</v>
      </c>
      <c r="E161" s="9">
        <f t="shared" si="2"/>
        <v>46097</v>
      </c>
      <c r="F161" s="8"/>
      <c r="G161" s="8"/>
      <c r="H161" s="24"/>
      <c r="I161" s="7"/>
      <c r="J161" s="10"/>
    </row>
    <row r="162" spans="4:12" x14ac:dyDescent="0.3">
      <c r="D162" s="3">
        <v>16</v>
      </c>
      <c r="E162" s="19">
        <f t="shared" si="2"/>
        <v>46097</v>
      </c>
      <c r="F162" s="20"/>
      <c r="G162" s="20"/>
      <c r="H162" s="25"/>
      <c r="I162" s="21"/>
      <c r="J162" s="22"/>
    </row>
    <row r="163" spans="4:12" x14ac:dyDescent="0.3">
      <c r="D163" s="3">
        <v>17</v>
      </c>
      <c r="E163" s="15">
        <f t="shared" si="2"/>
        <v>46098</v>
      </c>
      <c r="F163" s="16"/>
      <c r="G163" s="16"/>
      <c r="H163" s="23"/>
      <c r="I163" s="17"/>
      <c r="J163" s="18"/>
    </row>
    <row r="164" spans="4:12" x14ac:dyDescent="0.3">
      <c r="D164" s="3">
        <v>17</v>
      </c>
      <c r="E164" s="9">
        <f t="shared" si="2"/>
        <v>46098</v>
      </c>
      <c r="F164" s="8"/>
      <c r="G164" s="8"/>
      <c r="H164" s="24"/>
      <c r="I164" s="7"/>
      <c r="J164" s="10"/>
      <c r="L164" s="36"/>
    </row>
    <row r="165" spans="4:12" x14ac:dyDescent="0.3">
      <c r="D165" s="3">
        <v>17</v>
      </c>
      <c r="E165" s="9">
        <f t="shared" si="2"/>
        <v>46098</v>
      </c>
      <c r="F165" s="8"/>
      <c r="G165" s="8"/>
      <c r="H165" s="24"/>
      <c r="I165" s="7"/>
      <c r="J165" s="10"/>
    </row>
    <row r="166" spans="4:12" x14ac:dyDescent="0.3">
      <c r="D166" s="3">
        <v>17</v>
      </c>
      <c r="E166" s="9">
        <f t="shared" si="2"/>
        <v>46098</v>
      </c>
      <c r="F166" s="8"/>
      <c r="G166" s="8"/>
      <c r="H166" s="24"/>
      <c r="I166" s="7"/>
      <c r="J166" s="10"/>
    </row>
    <row r="167" spans="4:12" x14ac:dyDescent="0.3">
      <c r="D167" s="3">
        <v>17</v>
      </c>
      <c r="E167" s="9">
        <f t="shared" si="2"/>
        <v>46098</v>
      </c>
      <c r="F167" s="8"/>
      <c r="G167" s="8"/>
      <c r="H167" s="24"/>
      <c r="I167" s="7"/>
      <c r="J167" s="10"/>
    </row>
    <row r="168" spans="4:12" x14ac:dyDescent="0.3">
      <c r="D168" s="3">
        <v>17</v>
      </c>
      <c r="E168" s="9">
        <f t="shared" si="2"/>
        <v>46098</v>
      </c>
      <c r="F168" s="8"/>
      <c r="G168" s="8"/>
      <c r="H168" s="24"/>
      <c r="I168" s="7"/>
      <c r="J168" s="10"/>
    </row>
    <row r="169" spans="4:12" x14ac:dyDescent="0.3">
      <c r="D169" s="3">
        <v>17</v>
      </c>
      <c r="E169" s="9">
        <f t="shared" si="2"/>
        <v>46098</v>
      </c>
      <c r="F169" s="8"/>
      <c r="G169" s="8"/>
      <c r="H169" s="24"/>
      <c r="I169" s="7"/>
      <c r="J169" s="10"/>
    </row>
    <row r="170" spans="4:12" x14ac:dyDescent="0.3">
      <c r="D170" s="3">
        <v>17</v>
      </c>
      <c r="E170" s="9">
        <f t="shared" si="2"/>
        <v>46098</v>
      </c>
      <c r="F170" s="8"/>
      <c r="G170" s="8"/>
      <c r="H170" s="24"/>
      <c r="I170" s="7"/>
      <c r="J170" s="10"/>
    </row>
    <row r="171" spans="4:12" x14ac:dyDescent="0.3">
      <c r="D171" s="3">
        <v>17</v>
      </c>
      <c r="E171" s="9">
        <f t="shared" si="2"/>
        <v>46098</v>
      </c>
      <c r="F171" s="8"/>
      <c r="G171" s="8"/>
      <c r="H171" s="24"/>
      <c r="I171" s="7"/>
      <c r="J171" s="10"/>
    </row>
    <row r="172" spans="4:12" x14ac:dyDescent="0.3">
      <c r="D172" s="3">
        <v>17</v>
      </c>
      <c r="E172" s="19">
        <f t="shared" si="2"/>
        <v>46098</v>
      </c>
      <c r="F172" s="20"/>
      <c r="G172" s="20"/>
      <c r="H172" s="25"/>
      <c r="I172" s="21"/>
      <c r="J172" s="22"/>
    </row>
    <row r="173" spans="4:12" x14ac:dyDescent="0.3">
      <c r="D173" s="3">
        <v>18</v>
      </c>
      <c r="E173" s="15">
        <f t="shared" si="2"/>
        <v>46099</v>
      </c>
      <c r="F173" s="16"/>
      <c r="G173" s="16"/>
      <c r="H173" s="23"/>
      <c r="I173" s="17"/>
      <c r="J173" s="18"/>
    </row>
    <row r="174" spans="4:12" x14ac:dyDescent="0.3">
      <c r="D174" s="3">
        <v>18</v>
      </c>
      <c r="E174" s="9">
        <f t="shared" si="2"/>
        <v>46099</v>
      </c>
      <c r="F174" s="8"/>
      <c r="G174" s="8"/>
      <c r="H174" s="24"/>
      <c r="I174" s="7"/>
      <c r="J174" s="10"/>
    </row>
    <row r="175" spans="4:12" x14ac:dyDescent="0.3">
      <c r="D175" s="3">
        <v>18</v>
      </c>
      <c r="E175" s="9">
        <f t="shared" si="2"/>
        <v>46099</v>
      </c>
      <c r="F175" s="8"/>
      <c r="G175" s="8"/>
      <c r="H175" s="24"/>
      <c r="I175" s="7"/>
      <c r="J175" s="10"/>
    </row>
    <row r="176" spans="4:12" x14ac:dyDescent="0.3">
      <c r="D176" s="3">
        <v>18</v>
      </c>
      <c r="E176" s="9">
        <f t="shared" si="2"/>
        <v>46099</v>
      </c>
      <c r="F176" s="8"/>
      <c r="G176" s="8"/>
      <c r="H176" s="24"/>
      <c r="I176" s="7"/>
      <c r="J176" s="10"/>
    </row>
    <row r="177" spans="4:12" x14ac:dyDescent="0.3">
      <c r="D177" s="3">
        <v>18</v>
      </c>
      <c r="E177" s="9">
        <f t="shared" si="2"/>
        <v>46099</v>
      </c>
      <c r="F177" s="8"/>
      <c r="G177" s="8"/>
      <c r="H177" s="24"/>
      <c r="I177" s="7"/>
      <c r="J177" s="10"/>
    </row>
    <row r="178" spans="4:12" x14ac:dyDescent="0.3">
      <c r="D178" s="3">
        <v>18</v>
      </c>
      <c r="E178" s="9">
        <f t="shared" si="2"/>
        <v>46099</v>
      </c>
      <c r="F178" s="8"/>
      <c r="G178" s="8"/>
      <c r="H178" s="24"/>
      <c r="I178" s="7"/>
      <c r="J178" s="10"/>
    </row>
    <row r="179" spans="4:12" x14ac:dyDescent="0.3">
      <c r="D179" s="3">
        <v>18</v>
      </c>
      <c r="E179" s="9">
        <f t="shared" si="2"/>
        <v>46099</v>
      </c>
      <c r="F179" s="8"/>
      <c r="G179" s="8"/>
      <c r="H179" s="24"/>
      <c r="I179" s="7"/>
      <c r="J179" s="10"/>
    </row>
    <row r="180" spans="4:12" x14ac:dyDescent="0.3">
      <c r="D180" s="3">
        <v>18</v>
      </c>
      <c r="E180" s="9">
        <f t="shared" si="2"/>
        <v>46099</v>
      </c>
      <c r="F180" s="8"/>
      <c r="G180" s="8"/>
      <c r="H180" s="24"/>
      <c r="I180" s="7"/>
      <c r="J180" s="10"/>
    </row>
    <row r="181" spans="4:12" x14ac:dyDescent="0.3">
      <c r="D181" s="3">
        <v>18</v>
      </c>
      <c r="E181" s="9">
        <f t="shared" si="2"/>
        <v>46099</v>
      </c>
      <c r="F181" s="8"/>
      <c r="G181" s="8"/>
      <c r="H181" s="24"/>
      <c r="I181" s="7"/>
      <c r="J181" s="10"/>
    </row>
    <row r="182" spans="4:12" x14ac:dyDescent="0.3">
      <c r="D182" s="3">
        <v>18</v>
      </c>
      <c r="E182" s="19">
        <f t="shared" si="2"/>
        <v>46099</v>
      </c>
      <c r="F182" s="20"/>
      <c r="G182" s="20"/>
      <c r="H182" s="25"/>
      <c r="I182" s="21"/>
      <c r="J182" s="22"/>
    </row>
    <row r="183" spans="4:12" x14ac:dyDescent="0.3">
      <c r="D183" s="3">
        <v>19</v>
      </c>
      <c r="E183" s="15">
        <f t="shared" si="2"/>
        <v>46100</v>
      </c>
      <c r="F183" s="16"/>
      <c r="G183" s="16"/>
      <c r="H183" s="23"/>
      <c r="I183" s="17"/>
      <c r="J183" s="18"/>
    </row>
    <row r="184" spans="4:12" x14ac:dyDescent="0.3">
      <c r="D184" s="3">
        <v>19</v>
      </c>
      <c r="E184" s="9">
        <f t="shared" si="2"/>
        <v>46100</v>
      </c>
      <c r="F184" s="8"/>
      <c r="G184" s="8"/>
      <c r="H184" s="24"/>
      <c r="I184" s="7"/>
      <c r="J184" s="10"/>
    </row>
    <row r="185" spans="4:12" x14ac:dyDescent="0.3">
      <c r="D185" s="3">
        <v>19</v>
      </c>
      <c r="E185" s="9">
        <f t="shared" si="2"/>
        <v>46100</v>
      </c>
      <c r="F185" s="8"/>
      <c r="G185" s="8"/>
      <c r="H185" s="24"/>
      <c r="I185" s="7"/>
      <c r="J185" s="10"/>
      <c r="L185" s="36"/>
    </row>
    <row r="186" spans="4:12" x14ac:dyDescent="0.3">
      <c r="D186" s="3">
        <v>19</v>
      </c>
      <c r="E186" s="9">
        <f t="shared" si="2"/>
        <v>46100</v>
      </c>
      <c r="F186" s="8"/>
      <c r="G186" s="8"/>
      <c r="H186" s="24"/>
      <c r="I186" s="7"/>
      <c r="J186" s="10"/>
    </row>
    <row r="187" spans="4:12" x14ac:dyDescent="0.3">
      <c r="D187" s="3">
        <v>19</v>
      </c>
      <c r="E187" s="9">
        <f t="shared" si="2"/>
        <v>46100</v>
      </c>
      <c r="F187" s="8"/>
      <c r="G187" s="8"/>
      <c r="H187" s="24"/>
      <c r="I187" s="7"/>
      <c r="J187" s="10"/>
    </row>
    <row r="188" spans="4:12" x14ac:dyDescent="0.3">
      <c r="D188" s="3">
        <v>19</v>
      </c>
      <c r="E188" s="9">
        <f t="shared" si="2"/>
        <v>46100</v>
      </c>
      <c r="F188" s="8"/>
      <c r="G188" s="8"/>
      <c r="H188" s="24"/>
      <c r="I188" s="7"/>
      <c r="J188" s="10"/>
    </row>
    <row r="189" spans="4:12" x14ac:dyDescent="0.3">
      <c r="D189" s="3">
        <v>19</v>
      </c>
      <c r="E189" s="9">
        <f t="shared" si="2"/>
        <v>46100</v>
      </c>
      <c r="F189" s="8"/>
      <c r="G189" s="8"/>
      <c r="H189" s="24"/>
      <c r="I189" s="7"/>
      <c r="J189" s="10"/>
    </row>
    <row r="190" spans="4:12" x14ac:dyDescent="0.3">
      <c r="D190" s="3">
        <v>19</v>
      </c>
      <c r="E190" s="9">
        <f t="shared" si="2"/>
        <v>46100</v>
      </c>
      <c r="F190" s="8"/>
      <c r="G190" s="8"/>
      <c r="H190" s="24"/>
      <c r="I190" s="7"/>
      <c r="J190" s="10"/>
    </row>
    <row r="191" spans="4:12" x14ac:dyDescent="0.3">
      <c r="D191" s="3">
        <v>19</v>
      </c>
      <c r="E191" s="9">
        <f t="shared" si="2"/>
        <v>46100</v>
      </c>
      <c r="F191" s="8"/>
      <c r="G191" s="8"/>
      <c r="H191" s="24"/>
      <c r="I191" s="7"/>
      <c r="J191" s="10"/>
    </row>
    <row r="192" spans="4:12" x14ac:dyDescent="0.3">
      <c r="D192" s="3">
        <v>19</v>
      </c>
      <c r="E192" s="19">
        <f t="shared" si="2"/>
        <v>46100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46101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46101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46101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46101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46101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46101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46101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46101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46101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46101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46102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46102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46102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46102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46102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46102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46102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46102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46102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46102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46103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46103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46103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46103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46103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46103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46103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46103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46103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46103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46104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46104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46104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46104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46104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46104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46104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46104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46104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46104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46105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46105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46105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46105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46105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46105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46105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46105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46105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46105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46106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46106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46106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46106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46106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46106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46106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46106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46106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46106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46107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46107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46107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46107</v>
      </c>
      <c r="F256" s="8"/>
      <c r="G256" s="8"/>
      <c r="H256" s="24"/>
      <c r="I256" s="7"/>
      <c r="J256" s="10"/>
    </row>
    <row r="257" spans="4:10" x14ac:dyDescent="0.3">
      <c r="D257" s="3">
        <v>26</v>
      </c>
      <c r="E257" s="9">
        <f t="shared" si="3"/>
        <v>46107</v>
      </c>
      <c r="F257" s="8"/>
      <c r="G257" s="8"/>
      <c r="H257" s="24"/>
      <c r="I257" s="7"/>
      <c r="J257" s="10"/>
    </row>
    <row r="258" spans="4:10" x14ac:dyDescent="0.3">
      <c r="D258" s="3">
        <v>26</v>
      </c>
      <c r="E258" s="9">
        <f t="shared" si="3"/>
        <v>46107</v>
      </c>
      <c r="F258" s="8"/>
      <c r="G258" s="8"/>
      <c r="H258" s="24"/>
      <c r="I258" s="7"/>
      <c r="J258" s="10"/>
    </row>
    <row r="259" spans="4:10" x14ac:dyDescent="0.3">
      <c r="D259" s="3">
        <v>26</v>
      </c>
      <c r="E259" s="9">
        <f t="shared" si="3"/>
        <v>46107</v>
      </c>
      <c r="F259" s="8"/>
      <c r="G259" s="8"/>
      <c r="H259" s="24"/>
      <c r="I259" s="7"/>
      <c r="J259" s="10"/>
    </row>
    <row r="260" spans="4:10" x14ac:dyDescent="0.3">
      <c r="D260" s="3">
        <v>26</v>
      </c>
      <c r="E260" s="9">
        <f t="shared" ref="E260:E312" si="4">DATE($B$1,$B$2,$D260)</f>
        <v>46107</v>
      </c>
      <c r="F260" s="8"/>
      <c r="G260" s="8"/>
      <c r="H260" s="24"/>
      <c r="I260" s="7"/>
      <c r="J260" s="10"/>
    </row>
    <row r="261" spans="4:10" x14ac:dyDescent="0.3">
      <c r="D261" s="3">
        <v>26</v>
      </c>
      <c r="E261" s="9">
        <f t="shared" si="4"/>
        <v>46107</v>
      </c>
      <c r="F261" s="8"/>
      <c r="G261" s="8"/>
      <c r="H261" s="24"/>
      <c r="I261" s="7"/>
      <c r="J261" s="10"/>
    </row>
    <row r="262" spans="4:10" x14ac:dyDescent="0.3">
      <c r="D262" s="3">
        <v>26</v>
      </c>
      <c r="E262" s="19">
        <f t="shared" si="4"/>
        <v>46107</v>
      </c>
      <c r="F262" s="20"/>
      <c r="G262" s="20"/>
      <c r="H262" s="25"/>
      <c r="I262" s="21"/>
      <c r="J262" s="22"/>
    </row>
    <row r="263" spans="4:10" x14ac:dyDescent="0.3">
      <c r="D263" s="3">
        <v>27</v>
      </c>
      <c r="E263" s="15">
        <f t="shared" si="4"/>
        <v>46108</v>
      </c>
      <c r="F263" s="16"/>
      <c r="G263" s="16"/>
      <c r="H263" s="23"/>
      <c r="I263" s="17"/>
      <c r="J263" s="18"/>
    </row>
    <row r="264" spans="4:10" x14ac:dyDescent="0.3">
      <c r="D264" s="3">
        <v>27</v>
      </c>
      <c r="E264" s="9">
        <f t="shared" si="4"/>
        <v>46108</v>
      </c>
      <c r="F264" s="8"/>
      <c r="G264" s="8"/>
      <c r="H264" s="24"/>
      <c r="I264" s="7"/>
      <c r="J264" s="10"/>
    </row>
    <row r="265" spans="4:10" x14ac:dyDescent="0.3">
      <c r="D265" s="3">
        <v>27</v>
      </c>
      <c r="E265" s="9">
        <f t="shared" si="4"/>
        <v>46108</v>
      </c>
      <c r="F265" s="8"/>
      <c r="G265" s="8"/>
      <c r="H265" s="24"/>
      <c r="I265" s="7"/>
      <c r="J265" s="10"/>
    </row>
    <row r="266" spans="4:10" x14ac:dyDescent="0.3">
      <c r="D266" s="3">
        <v>27</v>
      </c>
      <c r="E266" s="9">
        <f t="shared" si="4"/>
        <v>46108</v>
      </c>
      <c r="F266" s="8"/>
      <c r="G266" s="8"/>
      <c r="H266" s="24"/>
      <c r="I266" s="7"/>
      <c r="J266" s="10"/>
    </row>
    <row r="267" spans="4:10" x14ac:dyDescent="0.3">
      <c r="D267" s="3">
        <v>27</v>
      </c>
      <c r="E267" s="9">
        <f t="shared" si="4"/>
        <v>46108</v>
      </c>
      <c r="F267" s="8"/>
      <c r="G267" s="8"/>
      <c r="H267" s="24"/>
      <c r="I267" s="7"/>
      <c r="J267" s="10"/>
    </row>
    <row r="268" spans="4:10" x14ac:dyDescent="0.3">
      <c r="D268" s="3">
        <v>27</v>
      </c>
      <c r="E268" s="9">
        <f t="shared" si="4"/>
        <v>46108</v>
      </c>
      <c r="F268" s="8"/>
      <c r="G268" s="8"/>
      <c r="H268" s="24"/>
      <c r="I268" s="7"/>
      <c r="J268" s="10"/>
    </row>
    <row r="269" spans="4:10" x14ac:dyDescent="0.3">
      <c r="D269" s="3">
        <v>27</v>
      </c>
      <c r="E269" s="9">
        <f t="shared" si="4"/>
        <v>46108</v>
      </c>
      <c r="F269" s="8"/>
      <c r="G269" s="8"/>
      <c r="H269" s="24"/>
      <c r="I269" s="7"/>
      <c r="J269" s="10"/>
    </row>
    <row r="270" spans="4:10" x14ac:dyDescent="0.3">
      <c r="D270" s="3">
        <v>27</v>
      </c>
      <c r="E270" s="9">
        <f t="shared" si="4"/>
        <v>46108</v>
      </c>
      <c r="F270" s="8"/>
      <c r="G270" s="8"/>
      <c r="H270" s="24"/>
      <c r="I270" s="7"/>
      <c r="J270" s="10"/>
    </row>
    <row r="271" spans="4:10" x14ac:dyDescent="0.3">
      <c r="D271" s="3">
        <v>27</v>
      </c>
      <c r="E271" s="9">
        <f t="shared" si="4"/>
        <v>46108</v>
      </c>
      <c r="F271" s="8"/>
      <c r="G271" s="8"/>
      <c r="H271" s="24"/>
      <c r="I271" s="7"/>
      <c r="J271" s="10"/>
    </row>
    <row r="272" spans="4:10" x14ac:dyDescent="0.3">
      <c r="D272" s="3">
        <v>27</v>
      </c>
      <c r="E272" s="19">
        <f t="shared" si="4"/>
        <v>46108</v>
      </c>
      <c r="F272" s="20"/>
      <c r="G272" s="20"/>
      <c r="H272" s="25"/>
      <c r="I272" s="21"/>
      <c r="J272" s="22"/>
    </row>
    <row r="273" spans="4:14" x14ac:dyDescent="0.3">
      <c r="D273" s="3">
        <v>28</v>
      </c>
      <c r="E273" s="15">
        <f t="shared" si="4"/>
        <v>46109</v>
      </c>
      <c r="F273" s="16"/>
      <c r="G273" s="16"/>
      <c r="H273" s="23"/>
      <c r="I273" s="17"/>
      <c r="J273" s="18"/>
    </row>
    <row r="274" spans="4:14" x14ac:dyDescent="0.3">
      <c r="D274" s="3">
        <v>28</v>
      </c>
      <c r="E274" s="9">
        <f t="shared" si="4"/>
        <v>46109</v>
      </c>
      <c r="F274" s="8"/>
      <c r="G274" s="8"/>
      <c r="H274" s="24"/>
      <c r="I274" s="7"/>
      <c r="J274" s="10"/>
    </row>
    <row r="275" spans="4:14" x14ac:dyDescent="0.3">
      <c r="D275" s="3">
        <v>28</v>
      </c>
      <c r="E275" s="9">
        <f t="shared" si="4"/>
        <v>46109</v>
      </c>
      <c r="F275" s="8"/>
      <c r="G275" s="8"/>
      <c r="H275" s="24"/>
      <c r="I275" s="7"/>
      <c r="J275" s="10"/>
    </row>
    <row r="276" spans="4:14" x14ac:dyDescent="0.3">
      <c r="D276" s="3">
        <v>28</v>
      </c>
      <c r="E276" s="9">
        <f t="shared" si="4"/>
        <v>46109</v>
      </c>
      <c r="F276" s="8"/>
      <c r="G276" s="8"/>
      <c r="H276" s="24"/>
      <c r="I276" s="7"/>
      <c r="J276" s="10"/>
    </row>
    <row r="277" spans="4:14" x14ac:dyDescent="0.3">
      <c r="D277" s="3">
        <v>28</v>
      </c>
      <c r="E277" s="9">
        <f t="shared" si="4"/>
        <v>46109</v>
      </c>
      <c r="F277" s="8"/>
      <c r="G277" s="8"/>
      <c r="H277" s="24"/>
      <c r="I277" s="7"/>
      <c r="J277" s="10"/>
    </row>
    <row r="278" spans="4:14" x14ac:dyDescent="0.3">
      <c r="D278" s="3">
        <v>28</v>
      </c>
      <c r="E278" s="9">
        <f t="shared" si="4"/>
        <v>46109</v>
      </c>
      <c r="F278" s="8"/>
      <c r="G278" s="8"/>
      <c r="H278" s="24"/>
      <c r="I278" s="7"/>
      <c r="J278" s="10"/>
    </row>
    <row r="279" spans="4:14" x14ac:dyDescent="0.3">
      <c r="D279" s="3">
        <v>28</v>
      </c>
      <c r="E279" s="9">
        <f t="shared" si="4"/>
        <v>46109</v>
      </c>
      <c r="F279" s="8"/>
      <c r="G279" s="8"/>
      <c r="H279" s="24"/>
      <c r="I279" s="7"/>
      <c r="J279" s="10"/>
    </row>
    <row r="280" spans="4:14" x14ac:dyDescent="0.3">
      <c r="D280" s="3">
        <v>28</v>
      </c>
      <c r="E280" s="9">
        <f t="shared" si="4"/>
        <v>46109</v>
      </c>
      <c r="F280" s="8"/>
      <c r="G280" s="8"/>
      <c r="H280" s="24"/>
      <c r="I280" s="7"/>
      <c r="J280" s="10"/>
    </row>
    <row r="281" spans="4:14" x14ac:dyDescent="0.3">
      <c r="D281" s="3">
        <v>28</v>
      </c>
      <c r="E281" s="9">
        <f t="shared" si="4"/>
        <v>46109</v>
      </c>
      <c r="F281" s="8"/>
      <c r="G281" s="8"/>
      <c r="H281" s="24"/>
      <c r="I281" s="7"/>
      <c r="J281" s="10"/>
    </row>
    <row r="282" spans="4:14" x14ac:dyDescent="0.3">
      <c r="D282" s="3">
        <v>28</v>
      </c>
      <c r="E282" s="19">
        <f t="shared" si="4"/>
        <v>46109</v>
      </c>
      <c r="F282" s="20"/>
      <c r="G282" s="20"/>
      <c r="H282" s="25"/>
      <c r="I282" s="21"/>
      <c r="J282" s="22"/>
    </row>
    <row r="283" spans="4:14" x14ac:dyDescent="0.3">
      <c r="D283" s="3">
        <v>29</v>
      </c>
      <c r="E283" s="15">
        <f t="shared" si="4"/>
        <v>46110</v>
      </c>
      <c r="F283" s="16"/>
      <c r="G283" s="16"/>
      <c r="H283" s="23"/>
      <c r="I283" s="17"/>
      <c r="J283" s="18"/>
    </row>
    <row r="284" spans="4:14" x14ac:dyDescent="0.3">
      <c r="D284" s="3">
        <v>29</v>
      </c>
      <c r="E284" s="9">
        <f t="shared" si="4"/>
        <v>46110</v>
      </c>
      <c r="F284" s="8"/>
      <c r="G284" s="8"/>
      <c r="H284" s="24"/>
      <c r="I284" s="7"/>
      <c r="J284" s="10"/>
      <c r="L284" s="36"/>
      <c r="N284" s="36"/>
    </row>
    <row r="285" spans="4:14" x14ac:dyDescent="0.3">
      <c r="D285" s="3">
        <v>29</v>
      </c>
      <c r="E285" s="9">
        <f t="shared" si="4"/>
        <v>46110</v>
      </c>
      <c r="F285" s="8"/>
      <c r="G285" s="8"/>
      <c r="H285" s="24"/>
      <c r="I285" s="7"/>
      <c r="J285" s="10"/>
    </row>
    <row r="286" spans="4:14" x14ac:dyDescent="0.3">
      <c r="D286" s="3">
        <v>29</v>
      </c>
      <c r="E286" s="9">
        <f t="shared" si="4"/>
        <v>46110</v>
      </c>
      <c r="F286" s="8"/>
      <c r="G286" s="8"/>
      <c r="H286" s="24"/>
      <c r="I286" s="7"/>
      <c r="J286" s="10"/>
    </row>
    <row r="287" spans="4:14" x14ac:dyDescent="0.3">
      <c r="D287" s="3">
        <v>29</v>
      </c>
      <c r="E287" s="9">
        <f t="shared" si="4"/>
        <v>46110</v>
      </c>
      <c r="F287" s="8"/>
      <c r="G287" s="8"/>
      <c r="H287" s="24"/>
      <c r="I287" s="7"/>
      <c r="J287" s="10"/>
    </row>
    <row r="288" spans="4:14" x14ac:dyDescent="0.3">
      <c r="D288" s="3">
        <v>29</v>
      </c>
      <c r="E288" s="9">
        <f t="shared" si="4"/>
        <v>46110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46110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46110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46110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46110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46111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46111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46111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46111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46111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46111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46111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46111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46111</v>
      </c>
      <c r="F301" s="8"/>
      <c r="G301" s="8"/>
      <c r="H301" s="24"/>
      <c r="I301" s="7"/>
      <c r="J301" s="10"/>
    </row>
    <row r="302" spans="4:10" x14ac:dyDescent="0.3">
      <c r="D302" s="3">
        <v>30</v>
      </c>
      <c r="E302" s="19">
        <f t="shared" si="4"/>
        <v>46111</v>
      </c>
      <c r="F302" s="20"/>
      <c r="G302" s="20"/>
      <c r="H302" s="25"/>
      <c r="I302" s="21"/>
      <c r="J302" s="22"/>
    </row>
    <row r="303" spans="4:10" x14ac:dyDescent="0.3">
      <c r="D303" s="3">
        <v>31</v>
      </c>
      <c r="E303" s="15">
        <f t="shared" si="4"/>
        <v>46112</v>
      </c>
      <c r="F303" s="16"/>
      <c r="G303" s="16"/>
      <c r="H303" s="23"/>
      <c r="I303" s="17"/>
      <c r="J303" s="18"/>
    </row>
    <row r="304" spans="4:10" x14ac:dyDescent="0.3">
      <c r="D304" s="3">
        <v>31</v>
      </c>
      <c r="E304" s="9">
        <f t="shared" si="4"/>
        <v>46112</v>
      </c>
      <c r="F304" s="8"/>
      <c r="G304" s="8"/>
      <c r="H304" s="24"/>
      <c r="I304" s="7"/>
      <c r="J304" s="10"/>
    </row>
    <row r="305" spans="4:10" x14ac:dyDescent="0.3">
      <c r="D305" s="3">
        <v>31</v>
      </c>
      <c r="E305" s="9">
        <f t="shared" si="4"/>
        <v>46112</v>
      </c>
      <c r="F305" s="8"/>
      <c r="G305" s="8"/>
      <c r="H305" s="24"/>
      <c r="I305" s="7"/>
      <c r="J305" s="10"/>
    </row>
    <row r="306" spans="4:10" x14ac:dyDescent="0.3">
      <c r="D306" s="3">
        <v>31</v>
      </c>
      <c r="E306" s="9">
        <f t="shared" si="4"/>
        <v>46112</v>
      </c>
      <c r="F306" s="8"/>
      <c r="G306" s="8"/>
      <c r="H306" s="24"/>
      <c r="I306" s="7"/>
      <c r="J306" s="10"/>
    </row>
    <row r="307" spans="4:10" x14ac:dyDescent="0.3">
      <c r="D307" s="3">
        <v>31</v>
      </c>
      <c r="E307" s="9">
        <f t="shared" si="4"/>
        <v>46112</v>
      </c>
      <c r="F307" s="8"/>
      <c r="G307" s="8"/>
      <c r="H307" s="24"/>
      <c r="I307" s="7"/>
      <c r="J307" s="10"/>
    </row>
    <row r="308" spans="4:10" x14ac:dyDescent="0.3">
      <c r="D308" s="3">
        <v>31</v>
      </c>
      <c r="E308" s="9">
        <f t="shared" si="4"/>
        <v>46112</v>
      </c>
      <c r="F308" s="8"/>
      <c r="G308" s="8"/>
      <c r="H308" s="24"/>
      <c r="I308" s="7"/>
      <c r="J308" s="10"/>
    </row>
    <row r="309" spans="4:10" x14ac:dyDescent="0.3">
      <c r="D309" s="3">
        <v>31</v>
      </c>
      <c r="E309" s="9">
        <f t="shared" si="4"/>
        <v>46112</v>
      </c>
      <c r="F309" s="8"/>
      <c r="G309" s="8"/>
      <c r="H309" s="24"/>
      <c r="I309" s="7"/>
      <c r="J309" s="10"/>
    </row>
    <row r="310" spans="4:10" x14ac:dyDescent="0.3">
      <c r="D310" s="3">
        <v>31</v>
      </c>
      <c r="E310" s="9">
        <f t="shared" si="4"/>
        <v>46112</v>
      </c>
      <c r="F310" s="8"/>
      <c r="G310" s="8"/>
      <c r="H310" s="24"/>
      <c r="I310" s="7"/>
      <c r="J310" s="10"/>
    </row>
    <row r="311" spans="4:10" x14ac:dyDescent="0.3">
      <c r="D311" s="3">
        <v>31</v>
      </c>
      <c r="E311" s="9">
        <f t="shared" si="4"/>
        <v>46112</v>
      </c>
      <c r="F311" s="8"/>
      <c r="G311" s="8"/>
      <c r="H311" s="24"/>
      <c r="I311" s="7"/>
      <c r="J311" s="10"/>
    </row>
    <row r="312" spans="4:10" ht="14.25" thickBot="1" x14ac:dyDescent="0.35">
      <c r="D312" s="3">
        <v>31</v>
      </c>
      <c r="E312" s="11">
        <f t="shared" si="4"/>
        <v>46112</v>
      </c>
      <c r="F312" s="12"/>
      <c r="G312" s="12"/>
      <c r="H312" s="26"/>
      <c r="I312" s="13"/>
      <c r="J312" s="14"/>
    </row>
    <row r="313" spans="4:10" x14ac:dyDescent="0.3">
      <c r="F313" s="6"/>
      <c r="G313" s="6"/>
    </row>
    <row r="314" spans="4:10" x14ac:dyDescent="0.3">
      <c r="F314" s="6"/>
      <c r="G314" s="6"/>
    </row>
    <row r="315" spans="4:10" x14ac:dyDescent="0.3">
      <c r="F315" s="6"/>
      <c r="G315" s="6"/>
    </row>
    <row r="316" spans="4:10" x14ac:dyDescent="0.3">
      <c r="F316" s="6"/>
      <c r="G316" s="6"/>
    </row>
    <row r="317" spans="4:10" x14ac:dyDescent="0.3">
      <c r="F317" s="6"/>
      <c r="G317" s="6"/>
    </row>
    <row r="318" spans="4:10" x14ac:dyDescent="0.3">
      <c r="F318" s="6"/>
      <c r="G318" s="6"/>
    </row>
    <row r="319" spans="4:10" x14ac:dyDescent="0.3">
      <c r="F319" s="6"/>
      <c r="G319" s="6"/>
    </row>
    <row r="320" spans="4:10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  <row r="331" spans="6:7" x14ac:dyDescent="0.3">
      <c r="F331" s="6"/>
      <c r="G331" s="6"/>
    </row>
    <row r="332" spans="6:7" x14ac:dyDescent="0.3">
      <c r="F332" s="6"/>
      <c r="G332" s="6"/>
    </row>
    <row r="333" spans="6:7" x14ac:dyDescent="0.3">
      <c r="F333" s="6"/>
      <c r="G333" s="6"/>
    </row>
    <row r="334" spans="6:7" x14ac:dyDescent="0.3">
      <c r="F334" s="6"/>
      <c r="G334" s="6"/>
    </row>
    <row r="335" spans="6:7" x14ac:dyDescent="0.3">
      <c r="F335" s="6"/>
      <c r="G335" s="6"/>
    </row>
    <row r="336" spans="6:7" x14ac:dyDescent="0.3">
      <c r="F336" s="6"/>
      <c r="G336" s="6"/>
    </row>
    <row r="337" spans="6:7" x14ac:dyDescent="0.3">
      <c r="F337" s="6"/>
      <c r="G337" s="6"/>
    </row>
    <row r="338" spans="6:7" x14ac:dyDescent="0.3">
      <c r="F338" s="6"/>
      <c r="G338" s="6"/>
    </row>
    <row r="339" spans="6:7" x14ac:dyDescent="0.3">
      <c r="F339" s="6"/>
      <c r="G339" s="6"/>
    </row>
    <row r="340" spans="6:7" x14ac:dyDescent="0.3">
      <c r="F340" s="6"/>
      <c r="G34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참조!$G$2:$G$3</xm:f>
          </x14:formula1>
          <xm:sqref>G313:G340</xm:sqref>
        </x14:dataValidation>
        <x14:dataValidation type="list" allowBlank="1" showInputMessage="1" showErrorMessage="1">
          <x14:formula1>
            <xm:f>참조!$F$2:$F$3</xm:f>
          </x14:formula1>
          <xm:sqref>F3:F340</xm:sqref>
        </x14:dataValidation>
        <x14:dataValidation type="list" allowBlank="1" showInputMessage="1" showErrorMessage="1">
          <x14:formula1>
            <xm:f>참조!$G:$G</xm:f>
          </x14:formula1>
          <xm:sqref>G3:G312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0"/>
  <sheetViews>
    <sheetView workbookViewId="0">
      <pane ySplit="2" topLeftCell="A6" activePane="bottomLeft" state="frozen"/>
      <selection activeCell="A3" sqref="A3"/>
      <selection pane="bottomLeft" activeCell="C1" sqref="C1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f>'2026년달력'!A1</f>
        <v>2026</v>
      </c>
    </row>
    <row r="2" spans="1:10" ht="14.25" thickBot="1" x14ac:dyDescent="0.35">
      <c r="A2" s="3" t="s">
        <v>1</v>
      </c>
      <c r="B2" s="3">
        <v>4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46113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46113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46113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46113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46113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46113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46113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46113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46113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46113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46114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46114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46114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46114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46114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46114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46114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46114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46114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46114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46115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46115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46115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46115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46115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46115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46115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46115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46115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46115</v>
      </c>
      <c r="F32" s="20"/>
      <c r="G32" s="20"/>
      <c r="H32" s="25"/>
      <c r="I32" s="21"/>
      <c r="J32" s="22"/>
    </row>
    <row r="33" spans="4:12" x14ac:dyDescent="0.3">
      <c r="D33" s="3">
        <v>4</v>
      </c>
      <c r="E33" s="15">
        <f t="shared" si="0"/>
        <v>46116</v>
      </c>
      <c r="F33" s="16"/>
      <c r="G33" s="16"/>
      <c r="H33" s="23"/>
      <c r="I33" s="17"/>
      <c r="J33" s="18"/>
    </row>
    <row r="34" spans="4:12" x14ac:dyDescent="0.3">
      <c r="D34" s="3">
        <v>4</v>
      </c>
      <c r="E34" s="9">
        <f t="shared" si="0"/>
        <v>46116</v>
      </c>
      <c r="F34" s="8"/>
      <c r="G34" s="8"/>
      <c r="H34" s="24"/>
      <c r="I34" s="7"/>
      <c r="J34" s="10"/>
    </row>
    <row r="35" spans="4:12" x14ac:dyDescent="0.3">
      <c r="D35" s="3">
        <v>4</v>
      </c>
      <c r="E35" s="9">
        <f t="shared" si="0"/>
        <v>46116</v>
      </c>
      <c r="F35" s="8"/>
      <c r="G35" s="8"/>
      <c r="H35" s="24"/>
      <c r="I35" s="7"/>
      <c r="J35" s="10"/>
    </row>
    <row r="36" spans="4:12" x14ac:dyDescent="0.3">
      <c r="D36" s="3">
        <v>4</v>
      </c>
      <c r="E36" s="9">
        <f t="shared" si="0"/>
        <v>46116</v>
      </c>
      <c r="F36" s="8"/>
      <c r="G36" s="8"/>
      <c r="H36" s="24"/>
      <c r="I36" s="7"/>
      <c r="J36" s="10"/>
    </row>
    <row r="37" spans="4:12" x14ac:dyDescent="0.3">
      <c r="D37" s="3">
        <v>4</v>
      </c>
      <c r="E37" s="9">
        <f t="shared" si="0"/>
        <v>46116</v>
      </c>
      <c r="F37" s="8"/>
      <c r="G37" s="8"/>
      <c r="H37" s="24"/>
      <c r="I37" s="7"/>
      <c r="J37" s="10"/>
    </row>
    <row r="38" spans="4:12" x14ac:dyDescent="0.3">
      <c r="D38" s="3">
        <v>4</v>
      </c>
      <c r="E38" s="9">
        <f t="shared" si="0"/>
        <v>46116</v>
      </c>
      <c r="F38" s="8"/>
      <c r="G38" s="8"/>
      <c r="H38" s="24"/>
      <c r="I38" s="7"/>
      <c r="J38" s="10"/>
    </row>
    <row r="39" spans="4:12" x14ac:dyDescent="0.3">
      <c r="D39" s="3">
        <v>4</v>
      </c>
      <c r="E39" s="9">
        <f t="shared" si="0"/>
        <v>46116</v>
      </c>
      <c r="F39" s="8"/>
      <c r="G39" s="8"/>
      <c r="H39" s="24"/>
      <c r="I39" s="7"/>
      <c r="J39" s="10"/>
    </row>
    <row r="40" spans="4:12" x14ac:dyDescent="0.3">
      <c r="D40" s="3">
        <v>4</v>
      </c>
      <c r="E40" s="9">
        <f t="shared" si="0"/>
        <v>46116</v>
      </c>
      <c r="F40" s="8"/>
      <c r="G40" s="8"/>
      <c r="H40" s="24"/>
      <c r="I40" s="7"/>
      <c r="J40" s="10"/>
    </row>
    <row r="41" spans="4:12" x14ac:dyDescent="0.3">
      <c r="D41" s="3">
        <v>4</v>
      </c>
      <c r="E41" s="9">
        <f t="shared" si="0"/>
        <v>46116</v>
      </c>
      <c r="F41" s="8"/>
      <c r="G41" s="8"/>
      <c r="H41" s="24"/>
      <c r="I41" s="7"/>
      <c r="J41" s="10"/>
    </row>
    <row r="42" spans="4:12" x14ac:dyDescent="0.3">
      <c r="D42" s="3">
        <v>4</v>
      </c>
      <c r="E42" s="19">
        <f t="shared" si="0"/>
        <v>46116</v>
      </c>
      <c r="F42" s="20"/>
      <c r="G42" s="20"/>
      <c r="H42" s="25"/>
      <c r="I42" s="21"/>
      <c r="J42" s="22"/>
    </row>
    <row r="43" spans="4:12" x14ac:dyDescent="0.3">
      <c r="D43" s="3">
        <v>5</v>
      </c>
      <c r="E43" s="15">
        <f t="shared" si="0"/>
        <v>46117</v>
      </c>
      <c r="F43" s="16"/>
      <c r="G43" s="16"/>
      <c r="H43" s="23"/>
      <c r="I43" s="17"/>
      <c r="J43" s="18"/>
    </row>
    <row r="44" spans="4:12" x14ac:dyDescent="0.3">
      <c r="D44" s="3">
        <v>5</v>
      </c>
      <c r="E44" s="9">
        <f t="shared" si="0"/>
        <v>46117</v>
      </c>
      <c r="F44" s="8"/>
      <c r="G44" s="8"/>
      <c r="H44" s="24"/>
      <c r="I44" s="7"/>
      <c r="J44" s="10"/>
    </row>
    <row r="45" spans="4:12" x14ac:dyDescent="0.3">
      <c r="D45" s="3">
        <v>5</v>
      </c>
      <c r="E45" s="9">
        <f t="shared" si="0"/>
        <v>46117</v>
      </c>
      <c r="F45" s="8"/>
      <c r="G45" s="8"/>
      <c r="H45" s="24"/>
      <c r="I45" s="7"/>
      <c r="J45" s="10"/>
    </row>
    <row r="46" spans="4:12" x14ac:dyDescent="0.3">
      <c r="D46" s="3">
        <v>5</v>
      </c>
      <c r="E46" s="9">
        <f t="shared" si="0"/>
        <v>46117</v>
      </c>
      <c r="F46" s="8"/>
      <c r="G46" s="8"/>
      <c r="H46" s="24"/>
      <c r="I46" s="7"/>
      <c r="J46" s="10"/>
    </row>
    <row r="47" spans="4:12" x14ac:dyDescent="0.3">
      <c r="D47" s="3">
        <v>5</v>
      </c>
      <c r="E47" s="9">
        <f t="shared" si="0"/>
        <v>46117</v>
      </c>
      <c r="F47" s="8"/>
      <c r="G47" s="8"/>
      <c r="H47" s="24"/>
      <c r="I47" s="7"/>
      <c r="J47" s="10"/>
      <c r="L47" s="36"/>
    </row>
    <row r="48" spans="4:12" x14ac:dyDescent="0.3">
      <c r="D48" s="3">
        <v>5</v>
      </c>
      <c r="E48" s="9">
        <f t="shared" si="0"/>
        <v>46117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46117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46117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46117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46117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46118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46118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46118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46118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46118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46118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46118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46118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46118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46118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46119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46119</v>
      </c>
      <c r="F64" s="8"/>
      <c r="G64" s="8"/>
      <c r="H64" s="24"/>
      <c r="I64" s="7"/>
      <c r="J64" s="10"/>
    </row>
    <row r="65" spans="4:10" x14ac:dyDescent="0.3">
      <c r="D65" s="3">
        <v>7</v>
      </c>
      <c r="E65" s="9">
        <f t="shared" si="0"/>
        <v>46119</v>
      </c>
      <c r="F65" s="8"/>
      <c r="G65" s="8"/>
      <c r="H65" s="24"/>
      <c r="I65" s="7"/>
      <c r="J65" s="10"/>
    </row>
    <row r="66" spans="4:10" x14ac:dyDescent="0.3">
      <c r="D66" s="3">
        <v>7</v>
      </c>
      <c r="E66" s="9">
        <f t="shared" si="0"/>
        <v>46119</v>
      </c>
      <c r="F66" s="8"/>
      <c r="G66" s="8"/>
      <c r="H66" s="24"/>
      <c r="I66" s="7"/>
      <c r="J66" s="10"/>
    </row>
    <row r="67" spans="4:10" x14ac:dyDescent="0.3">
      <c r="D67" s="3">
        <v>7</v>
      </c>
      <c r="E67" s="9">
        <f t="shared" si="0"/>
        <v>46119</v>
      </c>
      <c r="F67" s="8"/>
      <c r="G67" s="8"/>
      <c r="H67" s="24"/>
      <c r="I67" s="7"/>
      <c r="J67" s="10"/>
    </row>
    <row r="68" spans="4:10" x14ac:dyDescent="0.3">
      <c r="D68" s="3">
        <v>7</v>
      </c>
      <c r="E68" s="9">
        <f t="shared" ref="E68:E131" si="1">DATE($B$1,$B$2,$D68)</f>
        <v>46119</v>
      </c>
      <c r="F68" s="8"/>
      <c r="G68" s="8"/>
      <c r="H68" s="24"/>
      <c r="I68" s="7"/>
      <c r="J68" s="10"/>
    </row>
    <row r="69" spans="4:10" x14ac:dyDescent="0.3">
      <c r="D69" s="3">
        <v>7</v>
      </c>
      <c r="E69" s="9">
        <f t="shared" si="1"/>
        <v>46119</v>
      </c>
      <c r="F69" s="8"/>
      <c r="G69" s="8"/>
      <c r="H69" s="24"/>
      <c r="I69" s="7"/>
      <c r="J69" s="10"/>
    </row>
    <row r="70" spans="4:10" x14ac:dyDescent="0.3">
      <c r="D70" s="3">
        <v>7</v>
      </c>
      <c r="E70" s="9">
        <f t="shared" si="1"/>
        <v>46119</v>
      </c>
      <c r="F70" s="8"/>
      <c r="G70" s="8"/>
      <c r="H70" s="24"/>
      <c r="I70" s="7"/>
      <c r="J70" s="10"/>
    </row>
    <row r="71" spans="4:10" x14ac:dyDescent="0.3">
      <c r="D71" s="3">
        <v>7</v>
      </c>
      <c r="E71" s="9">
        <f t="shared" si="1"/>
        <v>46119</v>
      </c>
      <c r="F71" s="8"/>
      <c r="G71" s="8"/>
      <c r="H71" s="24"/>
      <c r="I71" s="7"/>
      <c r="J71" s="10"/>
    </row>
    <row r="72" spans="4:10" x14ac:dyDescent="0.3">
      <c r="D72" s="3">
        <v>7</v>
      </c>
      <c r="E72" s="19">
        <f t="shared" si="1"/>
        <v>46119</v>
      </c>
      <c r="F72" s="20"/>
      <c r="G72" s="20"/>
      <c r="H72" s="25"/>
      <c r="I72" s="21"/>
      <c r="J72" s="22"/>
    </row>
    <row r="73" spans="4:10" x14ac:dyDescent="0.3">
      <c r="D73" s="3">
        <v>8</v>
      </c>
      <c r="E73" s="15">
        <f t="shared" si="1"/>
        <v>46120</v>
      </c>
      <c r="F73" s="16"/>
      <c r="G73" s="16"/>
      <c r="H73" s="23"/>
      <c r="I73" s="17"/>
      <c r="J73" s="18"/>
    </row>
    <row r="74" spans="4:10" x14ac:dyDescent="0.3">
      <c r="D74" s="3">
        <v>8</v>
      </c>
      <c r="E74" s="9">
        <f t="shared" si="1"/>
        <v>46120</v>
      </c>
      <c r="F74" s="8"/>
      <c r="G74" s="8"/>
      <c r="H74" s="24"/>
      <c r="I74" s="7"/>
      <c r="J74" s="10"/>
    </row>
    <row r="75" spans="4:10" x14ac:dyDescent="0.3">
      <c r="D75" s="3">
        <v>8</v>
      </c>
      <c r="E75" s="9">
        <f t="shared" si="1"/>
        <v>46120</v>
      </c>
      <c r="F75" s="8"/>
      <c r="G75" s="8"/>
      <c r="H75" s="24"/>
      <c r="I75" s="7"/>
      <c r="J75" s="10"/>
    </row>
    <row r="76" spans="4:10" x14ac:dyDescent="0.3">
      <c r="D76" s="3">
        <v>8</v>
      </c>
      <c r="E76" s="9">
        <f t="shared" si="1"/>
        <v>46120</v>
      </c>
      <c r="F76" s="8"/>
      <c r="G76" s="8"/>
      <c r="H76" s="24"/>
      <c r="I76" s="7"/>
      <c r="J76" s="10"/>
    </row>
    <row r="77" spans="4:10" x14ac:dyDescent="0.3">
      <c r="D77" s="3">
        <v>8</v>
      </c>
      <c r="E77" s="9">
        <f t="shared" si="1"/>
        <v>46120</v>
      </c>
      <c r="F77" s="8"/>
      <c r="G77" s="8"/>
      <c r="H77" s="24"/>
      <c r="I77" s="7"/>
      <c r="J77" s="10"/>
    </row>
    <row r="78" spans="4:10" x14ac:dyDescent="0.3">
      <c r="D78" s="3">
        <v>8</v>
      </c>
      <c r="E78" s="9">
        <f t="shared" si="1"/>
        <v>46120</v>
      </c>
      <c r="F78" s="8"/>
      <c r="G78" s="8"/>
      <c r="H78" s="24"/>
      <c r="I78" s="7"/>
      <c r="J78" s="10"/>
    </row>
    <row r="79" spans="4:10" x14ac:dyDescent="0.3">
      <c r="D79" s="3">
        <v>8</v>
      </c>
      <c r="E79" s="9">
        <f t="shared" si="1"/>
        <v>46120</v>
      </c>
      <c r="F79" s="8"/>
      <c r="G79" s="8"/>
      <c r="H79" s="24"/>
      <c r="I79" s="7"/>
      <c r="J79" s="10"/>
    </row>
    <row r="80" spans="4:10" x14ac:dyDescent="0.3">
      <c r="D80" s="3">
        <v>8</v>
      </c>
      <c r="E80" s="9">
        <f t="shared" si="1"/>
        <v>46120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46120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46120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46121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46121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46121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46121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46121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46121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46121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46121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46121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46121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46122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46122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46122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46122</v>
      </c>
      <c r="F96" s="8"/>
      <c r="G96" s="8"/>
      <c r="H96" s="24"/>
      <c r="I96" s="7"/>
      <c r="J96" s="10"/>
    </row>
    <row r="97" spans="4:10" x14ac:dyDescent="0.3">
      <c r="D97" s="3">
        <v>10</v>
      </c>
      <c r="E97" s="9">
        <f t="shared" si="1"/>
        <v>46122</v>
      </c>
      <c r="F97" s="8"/>
      <c r="G97" s="8"/>
      <c r="H97" s="24"/>
      <c r="I97" s="7"/>
      <c r="J97" s="10"/>
    </row>
    <row r="98" spans="4:10" x14ac:dyDescent="0.3">
      <c r="D98" s="3">
        <v>10</v>
      </c>
      <c r="E98" s="9">
        <f t="shared" si="1"/>
        <v>46122</v>
      </c>
      <c r="F98" s="8"/>
      <c r="G98" s="8"/>
      <c r="H98" s="24"/>
      <c r="I98" s="7"/>
      <c r="J98" s="10"/>
    </row>
    <row r="99" spans="4:10" x14ac:dyDescent="0.3">
      <c r="D99" s="3">
        <v>10</v>
      </c>
      <c r="E99" s="9">
        <f t="shared" si="1"/>
        <v>46122</v>
      </c>
      <c r="F99" s="8"/>
      <c r="G99" s="8"/>
      <c r="H99" s="24"/>
      <c r="I99" s="7"/>
      <c r="J99" s="10"/>
    </row>
    <row r="100" spans="4:10" x14ac:dyDescent="0.3">
      <c r="D100" s="3">
        <v>10</v>
      </c>
      <c r="E100" s="9">
        <f t="shared" si="1"/>
        <v>46122</v>
      </c>
      <c r="F100" s="8"/>
      <c r="G100" s="8"/>
      <c r="H100" s="24"/>
      <c r="I100" s="7"/>
      <c r="J100" s="10"/>
    </row>
    <row r="101" spans="4:10" x14ac:dyDescent="0.3">
      <c r="D101" s="3">
        <v>10</v>
      </c>
      <c r="E101" s="9">
        <f t="shared" si="1"/>
        <v>46122</v>
      </c>
      <c r="F101" s="8"/>
      <c r="G101" s="8"/>
      <c r="H101" s="24"/>
      <c r="I101" s="7"/>
      <c r="J101" s="10"/>
    </row>
    <row r="102" spans="4:10" x14ac:dyDescent="0.3">
      <c r="D102" s="3">
        <v>10</v>
      </c>
      <c r="E102" s="19">
        <f t="shared" si="1"/>
        <v>46122</v>
      </c>
      <c r="F102" s="20"/>
      <c r="G102" s="20"/>
      <c r="H102" s="25"/>
      <c r="I102" s="21"/>
      <c r="J102" s="22"/>
    </row>
    <row r="103" spans="4:10" x14ac:dyDescent="0.3">
      <c r="D103" s="3">
        <v>11</v>
      </c>
      <c r="E103" s="15">
        <f t="shared" si="1"/>
        <v>46123</v>
      </c>
      <c r="F103" s="16"/>
      <c r="G103" s="16"/>
      <c r="H103" s="23"/>
      <c r="I103" s="17"/>
      <c r="J103" s="18"/>
    </row>
    <row r="104" spans="4:10" x14ac:dyDescent="0.3">
      <c r="D104" s="3">
        <v>11</v>
      </c>
      <c r="E104" s="9">
        <f t="shared" si="1"/>
        <v>46123</v>
      </c>
      <c r="F104" s="8"/>
      <c r="G104" s="8"/>
      <c r="H104" s="24"/>
      <c r="I104" s="7"/>
      <c r="J104" s="10"/>
    </row>
    <row r="105" spans="4:10" x14ac:dyDescent="0.3">
      <c r="D105" s="3">
        <v>11</v>
      </c>
      <c r="E105" s="9">
        <f t="shared" si="1"/>
        <v>46123</v>
      </c>
      <c r="F105" s="8"/>
      <c r="G105" s="8"/>
      <c r="H105" s="24"/>
      <c r="I105" s="7"/>
      <c r="J105" s="10"/>
    </row>
    <row r="106" spans="4:10" x14ac:dyDescent="0.3">
      <c r="D106" s="3">
        <v>11</v>
      </c>
      <c r="E106" s="9">
        <f t="shared" si="1"/>
        <v>46123</v>
      </c>
      <c r="F106" s="8"/>
      <c r="G106" s="8"/>
      <c r="H106" s="24"/>
      <c r="I106" s="7"/>
      <c r="J106" s="10"/>
    </row>
    <row r="107" spans="4:10" x14ac:dyDescent="0.3">
      <c r="D107" s="3">
        <v>11</v>
      </c>
      <c r="E107" s="9">
        <f t="shared" si="1"/>
        <v>46123</v>
      </c>
      <c r="F107" s="8"/>
      <c r="G107" s="8"/>
      <c r="H107" s="24"/>
      <c r="I107" s="7"/>
      <c r="J107" s="10"/>
    </row>
    <row r="108" spans="4:10" x14ac:dyDescent="0.3">
      <c r="D108" s="3">
        <v>11</v>
      </c>
      <c r="E108" s="9">
        <f t="shared" si="1"/>
        <v>46123</v>
      </c>
      <c r="F108" s="8"/>
      <c r="G108" s="8"/>
      <c r="H108" s="24"/>
      <c r="I108" s="7"/>
      <c r="J108" s="10"/>
    </row>
    <row r="109" spans="4:10" x14ac:dyDescent="0.3">
      <c r="D109" s="3">
        <v>11</v>
      </c>
      <c r="E109" s="9">
        <f t="shared" si="1"/>
        <v>46123</v>
      </c>
      <c r="F109" s="8"/>
      <c r="G109" s="8"/>
      <c r="H109" s="24"/>
      <c r="I109" s="7"/>
      <c r="J109" s="10"/>
    </row>
    <row r="110" spans="4:10" x14ac:dyDescent="0.3">
      <c r="D110" s="3">
        <v>11</v>
      </c>
      <c r="E110" s="9">
        <f t="shared" si="1"/>
        <v>46123</v>
      </c>
      <c r="F110" s="8"/>
      <c r="G110" s="8"/>
      <c r="H110" s="24"/>
      <c r="I110" s="7"/>
      <c r="J110" s="10"/>
    </row>
    <row r="111" spans="4:10" x14ac:dyDescent="0.3">
      <c r="D111" s="3">
        <v>11</v>
      </c>
      <c r="E111" s="9">
        <f t="shared" si="1"/>
        <v>46123</v>
      </c>
      <c r="F111" s="8"/>
      <c r="G111" s="8"/>
      <c r="H111" s="24"/>
      <c r="I111" s="7"/>
      <c r="J111" s="10"/>
    </row>
    <row r="112" spans="4:10" x14ac:dyDescent="0.3">
      <c r="D112" s="3">
        <v>11</v>
      </c>
      <c r="E112" s="19">
        <f t="shared" si="1"/>
        <v>46123</v>
      </c>
      <c r="F112" s="20"/>
      <c r="G112" s="20"/>
      <c r="H112" s="25"/>
      <c r="I112" s="21"/>
      <c r="J112" s="22"/>
    </row>
    <row r="113" spans="4:10" x14ac:dyDescent="0.3">
      <c r="D113" s="3">
        <v>12</v>
      </c>
      <c r="E113" s="15">
        <f t="shared" si="1"/>
        <v>46124</v>
      </c>
      <c r="F113" s="16"/>
      <c r="G113" s="16"/>
      <c r="H113" s="23"/>
      <c r="I113" s="17"/>
      <c r="J113" s="18"/>
    </row>
    <row r="114" spans="4:10" x14ac:dyDescent="0.3">
      <c r="D114" s="3">
        <v>12</v>
      </c>
      <c r="E114" s="9">
        <f t="shared" si="1"/>
        <v>46124</v>
      </c>
      <c r="F114" s="8"/>
      <c r="G114" s="8"/>
      <c r="H114" s="24"/>
      <c r="I114" s="7"/>
      <c r="J114" s="10"/>
    </row>
    <row r="115" spans="4:10" x14ac:dyDescent="0.3">
      <c r="D115" s="3">
        <v>12</v>
      </c>
      <c r="E115" s="9">
        <f t="shared" si="1"/>
        <v>46124</v>
      </c>
      <c r="F115" s="8"/>
      <c r="G115" s="8"/>
      <c r="H115" s="24"/>
      <c r="I115" s="7"/>
      <c r="J115" s="10"/>
    </row>
    <row r="116" spans="4:10" x14ac:dyDescent="0.3">
      <c r="D116" s="3">
        <v>12</v>
      </c>
      <c r="E116" s="9">
        <f t="shared" si="1"/>
        <v>46124</v>
      </c>
      <c r="F116" s="8"/>
      <c r="G116" s="8"/>
      <c r="H116" s="24"/>
      <c r="I116" s="7"/>
      <c r="J116" s="10"/>
    </row>
    <row r="117" spans="4:10" x14ac:dyDescent="0.3">
      <c r="D117" s="3">
        <v>12</v>
      </c>
      <c r="E117" s="9">
        <f t="shared" si="1"/>
        <v>46124</v>
      </c>
      <c r="F117" s="8"/>
      <c r="G117" s="8"/>
      <c r="H117" s="24"/>
      <c r="I117" s="7"/>
      <c r="J117" s="10"/>
    </row>
    <row r="118" spans="4:10" x14ac:dyDescent="0.3">
      <c r="D118" s="3">
        <v>12</v>
      </c>
      <c r="E118" s="9">
        <f t="shared" si="1"/>
        <v>46124</v>
      </c>
      <c r="F118" s="8"/>
      <c r="G118" s="8"/>
      <c r="H118" s="24"/>
      <c r="I118" s="7"/>
      <c r="J118" s="10"/>
    </row>
    <row r="119" spans="4:10" x14ac:dyDescent="0.3">
      <c r="D119" s="3">
        <v>12</v>
      </c>
      <c r="E119" s="9">
        <f t="shared" si="1"/>
        <v>46124</v>
      </c>
      <c r="F119" s="8"/>
      <c r="G119" s="8"/>
      <c r="H119" s="24"/>
      <c r="I119" s="7"/>
      <c r="J119" s="10"/>
    </row>
    <row r="120" spans="4:10" x14ac:dyDescent="0.3">
      <c r="D120" s="3">
        <v>12</v>
      </c>
      <c r="E120" s="9">
        <f t="shared" si="1"/>
        <v>46124</v>
      </c>
      <c r="F120" s="8"/>
      <c r="G120" s="8"/>
      <c r="H120" s="24"/>
      <c r="I120" s="7"/>
      <c r="J120" s="10"/>
    </row>
    <row r="121" spans="4:10" x14ac:dyDescent="0.3">
      <c r="D121" s="3">
        <v>12</v>
      </c>
      <c r="E121" s="9">
        <f t="shared" si="1"/>
        <v>46124</v>
      </c>
      <c r="F121" s="8"/>
      <c r="G121" s="8"/>
      <c r="H121" s="24"/>
      <c r="I121" s="7"/>
      <c r="J121" s="10"/>
    </row>
    <row r="122" spans="4:10" x14ac:dyDescent="0.3">
      <c r="D122" s="3">
        <v>12</v>
      </c>
      <c r="E122" s="19">
        <f t="shared" si="1"/>
        <v>46124</v>
      </c>
      <c r="F122" s="20"/>
      <c r="G122" s="20"/>
      <c r="H122" s="25"/>
      <c r="I122" s="21"/>
      <c r="J122" s="22"/>
    </row>
    <row r="123" spans="4:10" x14ac:dyDescent="0.3">
      <c r="D123" s="3">
        <v>13</v>
      </c>
      <c r="E123" s="15">
        <f t="shared" si="1"/>
        <v>46125</v>
      </c>
      <c r="F123" s="16"/>
      <c r="G123" s="16"/>
      <c r="H123" s="23"/>
      <c r="I123" s="17"/>
      <c r="J123" s="18"/>
    </row>
    <row r="124" spans="4:10" x14ac:dyDescent="0.3">
      <c r="D124" s="3">
        <v>13</v>
      </c>
      <c r="E124" s="9">
        <f t="shared" si="1"/>
        <v>46125</v>
      </c>
      <c r="F124" s="8"/>
      <c r="G124" s="8"/>
      <c r="H124" s="24"/>
      <c r="I124" s="7"/>
      <c r="J124" s="10"/>
    </row>
    <row r="125" spans="4:10" x14ac:dyDescent="0.3">
      <c r="D125" s="3">
        <v>13</v>
      </c>
      <c r="E125" s="9">
        <f t="shared" si="1"/>
        <v>46125</v>
      </c>
      <c r="F125" s="8"/>
      <c r="G125" s="8"/>
      <c r="H125" s="24"/>
      <c r="I125" s="7"/>
      <c r="J125" s="10"/>
    </row>
    <row r="126" spans="4:10" x14ac:dyDescent="0.3">
      <c r="D126" s="3">
        <v>13</v>
      </c>
      <c r="E126" s="9">
        <f t="shared" si="1"/>
        <v>46125</v>
      </c>
      <c r="F126" s="8"/>
      <c r="G126" s="8"/>
      <c r="H126" s="24"/>
      <c r="I126" s="7"/>
      <c r="J126" s="10"/>
    </row>
    <row r="127" spans="4:10" x14ac:dyDescent="0.3">
      <c r="D127" s="3">
        <v>13</v>
      </c>
      <c r="E127" s="9">
        <f t="shared" si="1"/>
        <v>46125</v>
      </c>
      <c r="F127" s="8"/>
      <c r="G127" s="8"/>
      <c r="H127" s="24"/>
      <c r="I127" s="7"/>
      <c r="J127" s="10"/>
    </row>
    <row r="128" spans="4:10" x14ac:dyDescent="0.3">
      <c r="D128" s="3">
        <v>13</v>
      </c>
      <c r="E128" s="9">
        <f t="shared" si="1"/>
        <v>46125</v>
      </c>
      <c r="F128" s="8"/>
      <c r="G128" s="8"/>
      <c r="H128" s="24"/>
      <c r="I128" s="7"/>
      <c r="J128" s="10"/>
    </row>
    <row r="129" spans="4:12" x14ac:dyDescent="0.3">
      <c r="D129" s="3">
        <v>13</v>
      </c>
      <c r="E129" s="9">
        <f t="shared" si="1"/>
        <v>46125</v>
      </c>
      <c r="F129" s="8"/>
      <c r="G129" s="8"/>
      <c r="H129" s="24"/>
      <c r="I129" s="7"/>
      <c r="J129" s="10"/>
    </row>
    <row r="130" spans="4:12" x14ac:dyDescent="0.3">
      <c r="D130" s="3">
        <v>13</v>
      </c>
      <c r="E130" s="9">
        <f t="shared" si="1"/>
        <v>46125</v>
      </c>
      <c r="F130" s="8"/>
      <c r="G130" s="8"/>
      <c r="H130" s="24"/>
      <c r="I130" s="7"/>
      <c r="J130" s="10"/>
    </row>
    <row r="131" spans="4:12" x14ac:dyDescent="0.3">
      <c r="D131" s="3">
        <v>13</v>
      </c>
      <c r="E131" s="9">
        <f t="shared" si="1"/>
        <v>46125</v>
      </c>
      <c r="F131" s="8"/>
      <c r="G131" s="8"/>
      <c r="H131" s="24"/>
      <c r="I131" s="7"/>
      <c r="J131" s="10"/>
    </row>
    <row r="132" spans="4:12" x14ac:dyDescent="0.3">
      <c r="D132" s="3">
        <v>13</v>
      </c>
      <c r="E132" s="19">
        <f t="shared" ref="E132:E195" si="2">DATE($B$1,$B$2,$D132)</f>
        <v>46125</v>
      </c>
      <c r="F132" s="20"/>
      <c r="G132" s="20"/>
      <c r="H132" s="25"/>
      <c r="I132" s="21"/>
      <c r="J132" s="22"/>
    </row>
    <row r="133" spans="4:12" x14ac:dyDescent="0.3">
      <c r="D133" s="3">
        <v>14</v>
      </c>
      <c r="E133" s="15">
        <f t="shared" si="2"/>
        <v>46126</v>
      </c>
      <c r="F133" s="16"/>
      <c r="G133" s="16"/>
      <c r="H133" s="23"/>
      <c r="I133" s="17"/>
      <c r="J133" s="18"/>
    </row>
    <row r="134" spans="4:12" x14ac:dyDescent="0.3">
      <c r="D134" s="3">
        <v>14</v>
      </c>
      <c r="E134" s="9">
        <f t="shared" si="2"/>
        <v>46126</v>
      </c>
      <c r="F134" s="8"/>
      <c r="G134" s="8"/>
      <c r="H134" s="24"/>
      <c r="I134" s="7"/>
      <c r="J134" s="10"/>
    </row>
    <row r="135" spans="4:12" x14ac:dyDescent="0.3">
      <c r="D135" s="3">
        <v>14</v>
      </c>
      <c r="E135" s="9">
        <f t="shared" si="2"/>
        <v>46126</v>
      </c>
      <c r="F135" s="8"/>
      <c r="G135" s="8"/>
      <c r="H135" s="24"/>
      <c r="I135" s="7"/>
      <c r="J135" s="10"/>
    </row>
    <row r="136" spans="4:12" x14ac:dyDescent="0.3">
      <c r="D136" s="3">
        <v>14</v>
      </c>
      <c r="E136" s="9">
        <f t="shared" si="2"/>
        <v>46126</v>
      </c>
      <c r="F136" s="8"/>
      <c r="G136" s="8"/>
      <c r="H136" s="24"/>
      <c r="I136" s="7"/>
      <c r="J136" s="10"/>
    </row>
    <row r="137" spans="4:12" x14ac:dyDescent="0.3">
      <c r="D137" s="3">
        <v>14</v>
      </c>
      <c r="E137" s="9">
        <f t="shared" si="2"/>
        <v>46126</v>
      </c>
      <c r="F137" s="8"/>
      <c r="G137" s="8"/>
      <c r="H137" s="24"/>
      <c r="I137" s="7"/>
      <c r="J137" s="10"/>
    </row>
    <row r="138" spans="4:12" x14ac:dyDescent="0.3">
      <c r="D138" s="3">
        <v>14</v>
      </c>
      <c r="E138" s="9">
        <f t="shared" si="2"/>
        <v>46126</v>
      </c>
      <c r="F138" s="8"/>
      <c r="G138" s="8"/>
      <c r="H138" s="24"/>
      <c r="I138" s="7"/>
      <c r="J138" s="10"/>
    </row>
    <row r="139" spans="4:12" x14ac:dyDescent="0.3">
      <c r="D139" s="3">
        <v>14</v>
      </c>
      <c r="E139" s="9">
        <f t="shared" si="2"/>
        <v>46126</v>
      </c>
      <c r="F139" s="8"/>
      <c r="G139" s="8"/>
      <c r="H139" s="24"/>
      <c r="I139" s="7"/>
      <c r="J139" s="10"/>
    </row>
    <row r="140" spans="4:12" x14ac:dyDescent="0.3">
      <c r="D140" s="3">
        <v>14</v>
      </c>
      <c r="E140" s="9">
        <f t="shared" si="2"/>
        <v>46126</v>
      </c>
      <c r="F140" s="8"/>
      <c r="G140" s="8"/>
      <c r="H140" s="24"/>
      <c r="I140" s="7"/>
      <c r="J140" s="10"/>
    </row>
    <row r="141" spans="4:12" x14ac:dyDescent="0.3">
      <c r="D141" s="3">
        <v>14</v>
      </c>
      <c r="E141" s="9">
        <f t="shared" si="2"/>
        <v>46126</v>
      </c>
      <c r="F141" s="8"/>
      <c r="G141" s="8"/>
      <c r="H141" s="24"/>
      <c r="I141" s="7"/>
      <c r="J141" s="10"/>
    </row>
    <row r="142" spans="4:12" x14ac:dyDescent="0.3">
      <c r="D142" s="3">
        <v>14</v>
      </c>
      <c r="E142" s="19">
        <f t="shared" si="2"/>
        <v>46126</v>
      </c>
      <c r="F142" s="20"/>
      <c r="G142" s="20"/>
      <c r="H142" s="25"/>
      <c r="I142" s="21"/>
      <c r="J142" s="22"/>
      <c r="L142" s="36"/>
    </row>
    <row r="143" spans="4:12" x14ac:dyDescent="0.3">
      <c r="D143" s="3">
        <v>15</v>
      </c>
      <c r="E143" s="15">
        <f t="shared" si="2"/>
        <v>46127</v>
      </c>
      <c r="F143" s="16"/>
      <c r="G143" s="16"/>
      <c r="H143" s="23"/>
      <c r="I143" s="17"/>
      <c r="J143" s="18"/>
    </row>
    <row r="144" spans="4:12" x14ac:dyDescent="0.3">
      <c r="D144" s="3">
        <v>15</v>
      </c>
      <c r="E144" s="9">
        <f t="shared" si="2"/>
        <v>46127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46127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46127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46127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46127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46127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46127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46127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46127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46128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46128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46128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46128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46128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46128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46128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46128</v>
      </c>
      <c r="F160" s="8"/>
      <c r="G160" s="8"/>
      <c r="H160" s="24"/>
      <c r="I160" s="7"/>
      <c r="J160" s="10"/>
    </row>
    <row r="161" spans="4:12" x14ac:dyDescent="0.3">
      <c r="D161" s="3">
        <v>16</v>
      </c>
      <c r="E161" s="9">
        <f t="shared" si="2"/>
        <v>46128</v>
      </c>
      <c r="F161" s="8"/>
      <c r="G161" s="8"/>
      <c r="H161" s="24"/>
      <c r="I161" s="7"/>
      <c r="J161" s="10"/>
    </row>
    <row r="162" spans="4:12" x14ac:dyDescent="0.3">
      <c r="D162" s="3">
        <v>16</v>
      </c>
      <c r="E162" s="19">
        <f t="shared" si="2"/>
        <v>46128</v>
      </c>
      <c r="F162" s="20"/>
      <c r="G162" s="20"/>
      <c r="H162" s="25"/>
      <c r="I162" s="21"/>
      <c r="J162" s="22"/>
    </row>
    <row r="163" spans="4:12" x14ac:dyDescent="0.3">
      <c r="D163" s="3">
        <v>17</v>
      </c>
      <c r="E163" s="15">
        <f t="shared" si="2"/>
        <v>46129</v>
      </c>
      <c r="F163" s="16"/>
      <c r="G163" s="16"/>
      <c r="H163" s="23"/>
      <c r="I163" s="17"/>
      <c r="J163" s="18"/>
    </row>
    <row r="164" spans="4:12" x14ac:dyDescent="0.3">
      <c r="D164" s="3">
        <v>17</v>
      </c>
      <c r="E164" s="9">
        <f t="shared" si="2"/>
        <v>46129</v>
      </c>
      <c r="F164" s="8"/>
      <c r="G164" s="8"/>
      <c r="H164" s="24"/>
      <c r="I164" s="7"/>
      <c r="J164" s="10"/>
    </row>
    <row r="165" spans="4:12" x14ac:dyDescent="0.3">
      <c r="D165" s="3">
        <v>17</v>
      </c>
      <c r="E165" s="9">
        <f t="shared" si="2"/>
        <v>46129</v>
      </c>
      <c r="F165" s="8"/>
      <c r="G165" s="8"/>
      <c r="H165" s="24"/>
      <c r="I165" s="7"/>
      <c r="J165" s="10"/>
    </row>
    <row r="166" spans="4:12" x14ac:dyDescent="0.3">
      <c r="D166" s="3">
        <v>17</v>
      </c>
      <c r="E166" s="9">
        <f t="shared" si="2"/>
        <v>46129</v>
      </c>
      <c r="F166" s="8"/>
      <c r="G166" s="8"/>
      <c r="H166" s="24"/>
      <c r="I166" s="7"/>
      <c r="J166" s="10"/>
    </row>
    <row r="167" spans="4:12" x14ac:dyDescent="0.3">
      <c r="D167" s="3">
        <v>17</v>
      </c>
      <c r="E167" s="9">
        <f t="shared" si="2"/>
        <v>46129</v>
      </c>
      <c r="F167" s="8"/>
      <c r="G167" s="8"/>
      <c r="H167" s="24"/>
      <c r="I167" s="7"/>
      <c r="J167" s="10"/>
    </row>
    <row r="168" spans="4:12" x14ac:dyDescent="0.3">
      <c r="D168" s="3">
        <v>17</v>
      </c>
      <c r="E168" s="9">
        <f t="shared" si="2"/>
        <v>46129</v>
      </c>
      <c r="F168" s="8"/>
      <c r="G168" s="8"/>
      <c r="H168" s="24"/>
      <c r="I168" s="7"/>
      <c r="J168" s="10"/>
    </row>
    <row r="169" spans="4:12" x14ac:dyDescent="0.3">
      <c r="D169" s="3">
        <v>17</v>
      </c>
      <c r="E169" s="9">
        <f t="shared" si="2"/>
        <v>46129</v>
      </c>
      <c r="F169" s="8"/>
      <c r="G169" s="8"/>
      <c r="H169" s="24"/>
      <c r="I169" s="7"/>
      <c r="J169" s="10"/>
    </row>
    <row r="170" spans="4:12" x14ac:dyDescent="0.3">
      <c r="D170" s="3">
        <v>17</v>
      </c>
      <c r="E170" s="9">
        <f t="shared" si="2"/>
        <v>46129</v>
      </c>
      <c r="F170" s="8"/>
      <c r="G170" s="8"/>
      <c r="H170" s="24"/>
      <c r="I170" s="7"/>
      <c r="J170" s="10"/>
    </row>
    <row r="171" spans="4:12" x14ac:dyDescent="0.3">
      <c r="D171" s="3">
        <v>17</v>
      </c>
      <c r="E171" s="9">
        <f t="shared" si="2"/>
        <v>46129</v>
      </c>
      <c r="F171" s="8"/>
      <c r="G171" s="8"/>
      <c r="H171" s="24"/>
      <c r="I171" s="7"/>
      <c r="J171" s="10"/>
    </row>
    <row r="172" spans="4:12" x14ac:dyDescent="0.3">
      <c r="D172" s="3">
        <v>17</v>
      </c>
      <c r="E172" s="19">
        <f t="shared" si="2"/>
        <v>46129</v>
      </c>
      <c r="F172" s="20"/>
      <c r="G172" s="20"/>
      <c r="H172" s="25"/>
      <c r="I172" s="21"/>
      <c r="J172" s="22"/>
    </row>
    <row r="173" spans="4:12" x14ac:dyDescent="0.3">
      <c r="D173" s="3">
        <v>18</v>
      </c>
      <c r="E173" s="15">
        <f t="shared" si="2"/>
        <v>46130</v>
      </c>
      <c r="F173" s="16"/>
      <c r="G173" s="16"/>
      <c r="H173" s="23"/>
      <c r="I173" s="17"/>
      <c r="J173" s="18"/>
      <c r="L173" s="36"/>
    </row>
    <row r="174" spans="4:12" x14ac:dyDescent="0.3">
      <c r="D174" s="3">
        <v>18</v>
      </c>
      <c r="E174" s="9">
        <f t="shared" si="2"/>
        <v>46130</v>
      </c>
      <c r="F174" s="8"/>
      <c r="G174" s="8"/>
      <c r="H174" s="24"/>
      <c r="I174" s="7"/>
      <c r="J174" s="10"/>
    </row>
    <row r="175" spans="4:12" x14ac:dyDescent="0.3">
      <c r="D175" s="3">
        <v>18</v>
      </c>
      <c r="E175" s="9">
        <f t="shared" si="2"/>
        <v>46130</v>
      </c>
      <c r="F175" s="8"/>
      <c r="G175" s="8"/>
      <c r="H175" s="24"/>
      <c r="I175" s="7"/>
      <c r="J175" s="10"/>
    </row>
    <row r="176" spans="4:12" x14ac:dyDescent="0.3">
      <c r="D176" s="3">
        <v>18</v>
      </c>
      <c r="E176" s="9">
        <f t="shared" si="2"/>
        <v>46130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46130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46130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46130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46130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46130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46130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46131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46131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46131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46131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46131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46131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46131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46131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46131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46131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46132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46132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46132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46132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46132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46132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46132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46132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46132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46132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46133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46133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46133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46133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46133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46133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46133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46133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46133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46133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46134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46134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46134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46134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46134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46134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46134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46134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46134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46134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46135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46135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46135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46135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46135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46135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46135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46135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46135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46135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46136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46136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46136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46136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46136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46136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46136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46136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46136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46136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46137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46137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46137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46137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46137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46137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46137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46137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46137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46137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46138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46138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46138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46138</v>
      </c>
      <c r="F256" s="8"/>
      <c r="G256" s="8"/>
      <c r="H256" s="24"/>
      <c r="I256" s="7"/>
      <c r="J256" s="10"/>
    </row>
    <row r="257" spans="4:10" x14ac:dyDescent="0.3">
      <c r="D257" s="3">
        <v>26</v>
      </c>
      <c r="E257" s="9">
        <f t="shared" si="3"/>
        <v>46138</v>
      </c>
      <c r="F257" s="8"/>
      <c r="G257" s="8"/>
      <c r="H257" s="24"/>
      <c r="I257" s="7"/>
      <c r="J257" s="10"/>
    </row>
    <row r="258" spans="4:10" x14ac:dyDescent="0.3">
      <c r="D258" s="3">
        <v>26</v>
      </c>
      <c r="E258" s="9">
        <f t="shared" si="3"/>
        <v>46138</v>
      </c>
      <c r="F258" s="8"/>
      <c r="G258" s="8"/>
      <c r="H258" s="24"/>
      <c r="I258" s="7"/>
      <c r="J258" s="10"/>
    </row>
    <row r="259" spans="4:10" x14ac:dyDescent="0.3">
      <c r="D259" s="3">
        <v>26</v>
      </c>
      <c r="E259" s="9">
        <f t="shared" si="3"/>
        <v>46138</v>
      </c>
      <c r="F259" s="8"/>
      <c r="G259" s="8"/>
      <c r="H259" s="24"/>
      <c r="I259" s="7"/>
      <c r="J259" s="10"/>
    </row>
    <row r="260" spans="4:10" x14ac:dyDescent="0.3">
      <c r="D260" s="3">
        <v>26</v>
      </c>
      <c r="E260" s="9">
        <f t="shared" ref="E260:E302" si="4">DATE($B$1,$B$2,$D260)</f>
        <v>46138</v>
      </c>
      <c r="F260" s="8"/>
      <c r="G260" s="8"/>
      <c r="H260" s="24"/>
      <c r="I260" s="7"/>
      <c r="J260" s="10"/>
    </row>
    <row r="261" spans="4:10" x14ac:dyDescent="0.3">
      <c r="D261" s="3">
        <v>26</v>
      </c>
      <c r="E261" s="9">
        <f t="shared" si="4"/>
        <v>46138</v>
      </c>
      <c r="F261" s="8"/>
      <c r="G261" s="8"/>
      <c r="H261" s="24"/>
      <c r="I261" s="7"/>
      <c r="J261" s="10"/>
    </row>
    <row r="262" spans="4:10" x14ac:dyDescent="0.3">
      <c r="D262" s="3">
        <v>26</v>
      </c>
      <c r="E262" s="19">
        <f t="shared" si="4"/>
        <v>46138</v>
      </c>
      <c r="F262" s="20"/>
      <c r="G262" s="20"/>
      <c r="H262" s="25"/>
      <c r="I262" s="21"/>
      <c r="J262" s="22"/>
    </row>
    <row r="263" spans="4:10" x14ac:dyDescent="0.3">
      <c r="D263" s="3">
        <v>27</v>
      </c>
      <c r="E263" s="15">
        <f t="shared" si="4"/>
        <v>46139</v>
      </c>
      <c r="F263" s="16"/>
      <c r="G263" s="16"/>
      <c r="H263" s="23"/>
      <c r="I263" s="17"/>
      <c r="J263" s="18"/>
    </row>
    <row r="264" spans="4:10" x14ac:dyDescent="0.3">
      <c r="D264" s="3">
        <v>27</v>
      </c>
      <c r="E264" s="9">
        <f t="shared" si="4"/>
        <v>46139</v>
      </c>
      <c r="F264" s="8"/>
      <c r="G264" s="8"/>
      <c r="H264" s="24"/>
      <c r="I264" s="7"/>
      <c r="J264" s="10"/>
    </row>
    <row r="265" spans="4:10" x14ac:dyDescent="0.3">
      <c r="D265" s="3">
        <v>27</v>
      </c>
      <c r="E265" s="9">
        <f t="shared" si="4"/>
        <v>46139</v>
      </c>
      <c r="F265" s="8"/>
      <c r="G265" s="8"/>
      <c r="H265" s="24"/>
      <c r="I265" s="7"/>
      <c r="J265" s="10"/>
    </row>
    <row r="266" spans="4:10" x14ac:dyDescent="0.3">
      <c r="D266" s="3">
        <v>27</v>
      </c>
      <c r="E266" s="9">
        <f t="shared" si="4"/>
        <v>46139</v>
      </c>
      <c r="F266" s="8"/>
      <c r="G266" s="8"/>
      <c r="H266" s="24"/>
      <c r="I266" s="7"/>
      <c r="J266" s="10"/>
    </row>
    <row r="267" spans="4:10" x14ac:dyDescent="0.3">
      <c r="D267" s="3">
        <v>27</v>
      </c>
      <c r="E267" s="9">
        <f t="shared" si="4"/>
        <v>46139</v>
      </c>
      <c r="F267" s="8"/>
      <c r="G267" s="8"/>
      <c r="H267" s="24"/>
      <c r="I267" s="7"/>
      <c r="J267" s="10"/>
    </row>
    <row r="268" spans="4:10" x14ac:dyDescent="0.3">
      <c r="D268" s="3">
        <v>27</v>
      </c>
      <c r="E268" s="9">
        <f t="shared" si="4"/>
        <v>46139</v>
      </c>
      <c r="F268" s="8"/>
      <c r="G268" s="8"/>
      <c r="H268" s="24"/>
      <c r="I268" s="7"/>
      <c r="J268" s="10"/>
    </row>
    <row r="269" spans="4:10" x14ac:dyDescent="0.3">
      <c r="D269" s="3">
        <v>27</v>
      </c>
      <c r="E269" s="9">
        <f t="shared" si="4"/>
        <v>46139</v>
      </c>
      <c r="F269" s="8"/>
      <c r="G269" s="8"/>
      <c r="H269" s="24"/>
      <c r="I269" s="7"/>
      <c r="J269" s="10"/>
    </row>
    <row r="270" spans="4:10" x14ac:dyDescent="0.3">
      <c r="D270" s="3">
        <v>27</v>
      </c>
      <c r="E270" s="9">
        <f t="shared" si="4"/>
        <v>46139</v>
      </c>
      <c r="F270" s="8"/>
      <c r="G270" s="8"/>
      <c r="H270" s="24"/>
      <c r="I270" s="7"/>
      <c r="J270" s="10"/>
    </row>
    <row r="271" spans="4:10" x14ac:dyDescent="0.3">
      <c r="D271" s="3">
        <v>27</v>
      </c>
      <c r="E271" s="9">
        <f t="shared" si="4"/>
        <v>46139</v>
      </c>
      <c r="F271" s="8"/>
      <c r="G271" s="8"/>
      <c r="H271" s="24"/>
      <c r="I271" s="7"/>
      <c r="J271" s="10"/>
    </row>
    <row r="272" spans="4:10" x14ac:dyDescent="0.3">
      <c r="D272" s="3">
        <v>27</v>
      </c>
      <c r="E272" s="19">
        <f t="shared" si="4"/>
        <v>46139</v>
      </c>
      <c r="F272" s="20"/>
      <c r="G272" s="20"/>
      <c r="H272" s="25"/>
      <c r="I272" s="21"/>
      <c r="J272" s="22"/>
    </row>
    <row r="273" spans="4:10" x14ac:dyDescent="0.3">
      <c r="D273" s="3">
        <v>28</v>
      </c>
      <c r="E273" s="15">
        <f t="shared" si="4"/>
        <v>46140</v>
      </c>
      <c r="F273" s="16"/>
      <c r="G273" s="16"/>
      <c r="H273" s="23"/>
      <c r="I273" s="17"/>
      <c r="J273" s="18"/>
    </row>
    <row r="274" spans="4:10" x14ac:dyDescent="0.3">
      <c r="D274" s="3">
        <v>28</v>
      </c>
      <c r="E274" s="9">
        <f t="shared" si="4"/>
        <v>46140</v>
      </c>
      <c r="F274" s="8"/>
      <c r="G274" s="8"/>
      <c r="H274" s="24"/>
      <c r="I274" s="7"/>
      <c r="J274" s="10"/>
    </row>
    <row r="275" spans="4:10" x14ac:dyDescent="0.3">
      <c r="D275" s="3">
        <v>28</v>
      </c>
      <c r="E275" s="9">
        <f t="shared" si="4"/>
        <v>46140</v>
      </c>
      <c r="F275" s="8"/>
      <c r="G275" s="8"/>
      <c r="H275" s="24"/>
      <c r="I275" s="7"/>
      <c r="J275" s="10"/>
    </row>
    <row r="276" spans="4:10" x14ac:dyDescent="0.3">
      <c r="D276" s="3">
        <v>28</v>
      </c>
      <c r="E276" s="9">
        <f t="shared" si="4"/>
        <v>46140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46140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46140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46140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46140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46140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19">
        <f t="shared" si="4"/>
        <v>46140</v>
      </c>
      <c r="F282" s="20"/>
      <c r="G282" s="20"/>
      <c r="H282" s="25"/>
      <c r="I282" s="21"/>
      <c r="J282" s="22"/>
    </row>
    <row r="283" spans="4:10" x14ac:dyDescent="0.3">
      <c r="D283" s="3">
        <v>29</v>
      </c>
      <c r="E283" s="15">
        <f t="shared" si="4"/>
        <v>46141</v>
      </c>
      <c r="F283" s="16"/>
      <c r="G283" s="16"/>
      <c r="H283" s="23"/>
      <c r="I283" s="17"/>
      <c r="J283" s="18"/>
    </row>
    <row r="284" spans="4:10" x14ac:dyDescent="0.3">
      <c r="D284" s="3">
        <v>29</v>
      </c>
      <c r="E284" s="9">
        <f t="shared" si="4"/>
        <v>46141</v>
      </c>
      <c r="F284" s="8"/>
      <c r="G284" s="8"/>
      <c r="H284" s="24"/>
      <c r="I284" s="7"/>
      <c r="J284" s="10"/>
    </row>
    <row r="285" spans="4:10" x14ac:dyDescent="0.3">
      <c r="D285" s="3">
        <v>29</v>
      </c>
      <c r="E285" s="9">
        <f t="shared" si="4"/>
        <v>46141</v>
      </c>
      <c r="F285" s="8"/>
      <c r="G285" s="8"/>
      <c r="H285" s="24"/>
      <c r="I285" s="7"/>
      <c r="J285" s="10"/>
    </row>
    <row r="286" spans="4:10" x14ac:dyDescent="0.3">
      <c r="D286" s="3">
        <v>29</v>
      </c>
      <c r="E286" s="9">
        <f t="shared" si="4"/>
        <v>46141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46141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46141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46141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46141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46141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46141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46142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46142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46142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46142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46142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46142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46142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46142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46142</v>
      </c>
      <c r="F301" s="8"/>
      <c r="G301" s="8"/>
      <c r="H301" s="24"/>
      <c r="I301" s="7"/>
      <c r="J301" s="10"/>
    </row>
    <row r="302" spans="4:10" ht="14.25" thickBot="1" x14ac:dyDescent="0.35">
      <c r="D302" s="3">
        <v>30</v>
      </c>
      <c r="E302" s="11">
        <f t="shared" si="4"/>
        <v>46142</v>
      </c>
      <c r="F302" s="12"/>
      <c r="G302" s="12"/>
      <c r="H302" s="26"/>
      <c r="I302" s="13"/>
      <c r="J302" s="14"/>
    </row>
    <row r="303" spans="4:10" x14ac:dyDescent="0.3">
      <c r="F303" s="6"/>
      <c r="G303" s="6"/>
    </row>
    <row r="304" spans="4:10" x14ac:dyDescent="0.3">
      <c r="F304" s="6"/>
      <c r="G304" s="6"/>
    </row>
    <row r="305" spans="6:7" x14ac:dyDescent="0.3">
      <c r="F305" s="6"/>
      <c r="G305" s="6"/>
    </row>
    <row r="306" spans="6:7" x14ac:dyDescent="0.3">
      <c r="F306" s="6"/>
      <c r="G306" s="6"/>
    </row>
    <row r="307" spans="6:7" x14ac:dyDescent="0.3">
      <c r="F307" s="6"/>
      <c r="G307" s="6"/>
    </row>
    <row r="308" spans="6:7" x14ac:dyDescent="0.3">
      <c r="F308" s="6"/>
      <c r="G308" s="6"/>
    </row>
    <row r="309" spans="6:7" x14ac:dyDescent="0.3">
      <c r="F309" s="6"/>
      <c r="G309" s="6"/>
    </row>
    <row r="310" spans="6:7" x14ac:dyDescent="0.3">
      <c r="F310" s="6"/>
      <c r="G310" s="6"/>
    </row>
    <row r="311" spans="6:7" x14ac:dyDescent="0.3">
      <c r="F311" s="6"/>
      <c r="G311" s="6"/>
    </row>
    <row r="312" spans="6:7" x14ac:dyDescent="0.3">
      <c r="F312" s="6"/>
      <c r="G312" s="6"/>
    </row>
    <row r="313" spans="6:7" x14ac:dyDescent="0.3">
      <c r="F313" s="6"/>
      <c r="G313" s="6"/>
    </row>
    <row r="314" spans="6:7" x14ac:dyDescent="0.3">
      <c r="F314" s="6"/>
      <c r="G314" s="6"/>
    </row>
    <row r="315" spans="6:7" x14ac:dyDescent="0.3">
      <c r="F315" s="6"/>
      <c r="G315" s="6"/>
    </row>
    <row r="316" spans="6:7" x14ac:dyDescent="0.3">
      <c r="F316" s="6"/>
      <c r="G316" s="6"/>
    </row>
    <row r="317" spans="6:7" x14ac:dyDescent="0.3">
      <c r="F317" s="6"/>
      <c r="G317" s="6"/>
    </row>
    <row r="318" spans="6:7" x14ac:dyDescent="0.3">
      <c r="F318" s="6"/>
      <c r="G318" s="6"/>
    </row>
    <row r="319" spans="6:7" x14ac:dyDescent="0.3">
      <c r="F319" s="6"/>
      <c r="G319" s="6"/>
    </row>
    <row r="320" spans="6:7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참조!$F$2:$F$3</xm:f>
          </x14:formula1>
          <xm:sqref>F3:F330</xm:sqref>
        </x14:dataValidation>
        <x14:dataValidation type="list" allowBlank="1" showInputMessage="1" showErrorMessage="1">
          <x14:formula1>
            <xm:f>참조!$G$2:$G$3</xm:f>
          </x14:formula1>
          <xm:sqref>G303:G330</xm:sqref>
        </x14:dataValidation>
        <x14:dataValidation type="list" allowBlank="1" showInputMessage="1" showErrorMessage="1">
          <x14:formula1>
            <xm:f>참조!$G:$G</xm:f>
          </x14:formula1>
          <xm:sqref>G3:G302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0"/>
  <sheetViews>
    <sheetView workbookViewId="0">
      <pane ySplit="2" topLeftCell="A3" activePane="bottomLeft" state="frozen"/>
      <selection activeCell="A3" sqref="A3"/>
      <selection pane="bottomLeft" activeCell="C1" sqref="C1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f>'2026년달력'!A1</f>
        <v>2026</v>
      </c>
    </row>
    <row r="2" spans="1:10" ht="14.25" thickBot="1" x14ac:dyDescent="0.35">
      <c r="A2" s="3" t="s">
        <v>1</v>
      </c>
      <c r="B2" s="3">
        <v>5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46143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46143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46143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46143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46143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46143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46143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46143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46143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46143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46144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46144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46144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46144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46144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46144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46144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46144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46144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46144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46145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46145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46145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46145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46145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46145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46145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46145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46145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46145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46146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46146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46146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46146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46146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46146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46146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46146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46146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46146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46147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46147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46147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46147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46147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46147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46147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46147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46147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46147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46148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46148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46148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46148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46148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46148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46148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46148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46148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46148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46149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46149</v>
      </c>
      <c r="F64" s="8"/>
      <c r="G64" s="8"/>
      <c r="H64" s="24"/>
      <c r="I64" s="7"/>
      <c r="J64" s="10"/>
    </row>
    <row r="65" spans="4:10" x14ac:dyDescent="0.3">
      <c r="D65" s="3">
        <v>7</v>
      </c>
      <c r="E65" s="9">
        <f t="shared" si="0"/>
        <v>46149</v>
      </c>
      <c r="F65" s="8"/>
      <c r="G65" s="8"/>
      <c r="H65" s="24"/>
      <c r="I65" s="7"/>
      <c r="J65" s="10"/>
    </row>
    <row r="66" spans="4:10" x14ac:dyDescent="0.3">
      <c r="D66" s="3">
        <v>7</v>
      </c>
      <c r="E66" s="9">
        <f t="shared" si="0"/>
        <v>46149</v>
      </c>
      <c r="F66" s="8"/>
      <c r="G66" s="8"/>
      <c r="H66" s="24"/>
      <c r="I66" s="7"/>
      <c r="J66" s="10"/>
    </row>
    <row r="67" spans="4:10" x14ac:dyDescent="0.3">
      <c r="D67" s="3">
        <v>7</v>
      </c>
      <c r="E67" s="9">
        <f t="shared" si="0"/>
        <v>46149</v>
      </c>
      <c r="F67" s="8"/>
      <c r="G67" s="8"/>
      <c r="H67" s="24"/>
      <c r="I67" s="7"/>
      <c r="J67" s="10"/>
    </row>
    <row r="68" spans="4:10" x14ac:dyDescent="0.3">
      <c r="D68" s="3">
        <v>7</v>
      </c>
      <c r="E68" s="9">
        <f t="shared" ref="E68:E131" si="1">DATE($B$1,$B$2,$D68)</f>
        <v>46149</v>
      </c>
      <c r="F68" s="8"/>
      <c r="G68" s="8"/>
      <c r="H68" s="24"/>
      <c r="I68" s="7"/>
      <c r="J68" s="10"/>
    </row>
    <row r="69" spans="4:10" x14ac:dyDescent="0.3">
      <c r="D69" s="3">
        <v>7</v>
      </c>
      <c r="E69" s="9">
        <f t="shared" si="1"/>
        <v>46149</v>
      </c>
      <c r="F69" s="8"/>
      <c r="G69" s="8"/>
      <c r="H69" s="24"/>
      <c r="I69" s="7"/>
      <c r="J69" s="10"/>
    </row>
    <row r="70" spans="4:10" x14ac:dyDescent="0.3">
      <c r="D70" s="3">
        <v>7</v>
      </c>
      <c r="E70" s="9">
        <f t="shared" si="1"/>
        <v>46149</v>
      </c>
      <c r="F70" s="8"/>
      <c r="G70" s="8"/>
      <c r="H70" s="24"/>
      <c r="I70" s="7"/>
      <c r="J70" s="10"/>
    </row>
    <row r="71" spans="4:10" x14ac:dyDescent="0.3">
      <c r="D71" s="3">
        <v>7</v>
      </c>
      <c r="E71" s="9">
        <f t="shared" si="1"/>
        <v>46149</v>
      </c>
      <c r="F71" s="8"/>
      <c r="G71" s="8"/>
      <c r="H71" s="24"/>
      <c r="I71" s="7"/>
      <c r="J71" s="10"/>
    </row>
    <row r="72" spans="4:10" x14ac:dyDescent="0.3">
      <c r="D72" s="3">
        <v>7</v>
      </c>
      <c r="E72" s="19">
        <f t="shared" si="1"/>
        <v>46149</v>
      </c>
      <c r="F72" s="20"/>
      <c r="G72" s="20"/>
      <c r="H72" s="25"/>
      <c r="I72" s="21"/>
      <c r="J72" s="22"/>
    </row>
    <row r="73" spans="4:10" x14ac:dyDescent="0.3">
      <c r="D73" s="3">
        <v>8</v>
      </c>
      <c r="E73" s="15">
        <f t="shared" si="1"/>
        <v>46150</v>
      </c>
      <c r="F73" s="16"/>
      <c r="G73" s="16"/>
      <c r="H73" s="23"/>
      <c r="I73" s="17"/>
      <c r="J73" s="18"/>
    </row>
    <row r="74" spans="4:10" x14ac:dyDescent="0.3">
      <c r="D74" s="3">
        <v>8</v>
      </c>
      <c r="E74" s="9">
        <f t="shared" si="1"/>
        <v>46150</v>
      </c>
      <c r="F74" s="8"/>
      <c r="G74" s="8"/>
      <c r="H74" s="24"/>
      <c r="I74" s="7"/>
      <c r="J74" s="10"/>
    </row>
    <row r="75" spans="4:10" x14ac:dyDescent="0.3">
      <c r="D75" s="3">
        <v>8</v>
      </c>
      <c r="E75" s="9">
        <f t="shared" si="1"/>
        <v>46150</v>
      </c>
      <c r="F75" s="8"/>
      <c r="G75" s="8"/>
      <c r="H75" s="24"/>
      <c r="I75" s="7"/>
      <c r="J75" s="10"/>
    </row>
    <row r="76" spans="4:10" x14ac:dyDescent="0.3">
      <c r="D76" s="3">
        <v>8</v>
      </c>
      <c r="E76" s="9">
        <f t="shared" si="1"/>
        <v>46150</v>
      </c>
      <c r="F76" s="8"/>
      <c r="G76" s="8"/>
      <c r="H76" s="24"/>
      <c r="I76" s="7"/>
      <c r="J76" s="10"/>
    </row>
    <row r="77" spans="4:10" x14ac:dyDescent="0.3">
      <c r="D77" s="3">
        <v>8</v>
      </c>
      <c r="E77" s="9">
        <f t="shared" si="1"/>
        <v>46150</v>
      </c>
      <c r="F77" s="8"/>
      <c r="G77" s="8"/>
      <c r="H77" s="24"/>
      <c r="I77" s="7"/>
      <c r="J77" s="10"/>
    </row>
    <row r="78" spans="4:10" x14ac:dyDescent="0.3">
      <c r="D78" s="3">
        <v>8</v>
      </c>
      <c r="E78" s="9">
        <f t="shared" si="1"/>
        <v>46150</v>
      </c>
      <c r="F78" s="8"/>
      <c r="G78" s="8"/>
      <c r="H78" s="24"/>
      <c r="I78" s="7"/>
      <c r="J78" s="10"/>
    </row>
    <row r="79" spans="4:10" x14ac:dyDescent="0.3">
      <c r="D79" s="3">
        <v>8</v>
      </c>
      <c r="E79" s="9">
        <f t="shared" si="1"/>
        <v>46150</v>
      </c>
      <c r="F79" s="8"/>
      <c r="G79" s="8"/>
      <c r="H79" s="24"/>
      <c r="I79" s="7"/>
      <c r="J79" s="10"/>
    </row>
    <row r="80" spans="4:10" x14ac:dyDescent="0.3">
      <c r="D80" s="3">
        <v>8</v>
      </c>
      <c r="E80" s="9">
        <f t="shared" si="1"/>
        <v>46150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46150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46150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46151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46151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46151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46151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46151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46151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46151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46151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46151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46151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46152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46152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46152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46152</v>
      </c>
      <c r="F96" s="8"/>
      <c r="G96" s="8"/>
      <c r="H96" s="24"/>
      <c r="I96" s="7"/>
      <c r="J96" s="10"/>
    </row>
    <row r="97" spans="4:10" x14ac:dyDescent="0.3">
      <c r="D97" s="3">
        <v>10</v>
      </c>
      <c r="E97" s="9">
        <f t="shared" si="1"/>
        <v>46152</v>
      </c>
      <c r="F97" s="8"/>
      <c r="G97" s="8"/>
      <c r="H97" s="24"/>
      <c r="I97" s="7"/>
      <c r="J97" s="10"/>
    </row>
    <row r="98" spans="4:10" x14ac:dyDescent="0.3">
      <c r="D98" s="3">
        <v>10</v>
      </c>
      <c r="E98" s="9">
        <f t="shared" si="1"/>
        <v>46152</v>
      </c>
      <c r="F98" s="8"/>
      <c r="G98" s="8"/>
      <c r="H98" s="24"/>
      <c r="I98" s="7"/>
      <c r="J98" s="10"/>
    </row>
    <row r="99" spans="4:10" x14ac:dyDescent="0.3">
      <c r="D99" s="3">
        <v>10</v>
      </c>
      <c r="E99" s="9">
        <f t="shared" si="1"/>
        <v>46152</v>
      </c>
      <c r="F99" s="8"/>
      <c r="G99" s="8"/>
      <c r="H99" s="24"/>
      <c r="I99" s="7"/>
      <c r="J99" s="10"/>
    </row>
    <row r="100" spans="4:10" x14ac:dyDescent="0.3">
      <c r="D100" s="3">
        <v>10</v>
      </c>
      <c r="E100" s="9">
        <f t="shared" si="1"/>
        <v>46152</v>
      </c>
      <c r="F100" s="8"/>
      <c r="G100" s="8"/>
      <c r="H100" s="24"/>
      <c r="I100" s="7"/>
      <c r="J100" s="10"/>
    </row>
    <row r="101" spans="4:10" x14ac:dyDescent="0.3">
      <c r="D101" s="3">
        <v>10</v>
      </c>
      <c r="E101" s="9">
        <f t="shared" si="1"/>
        <v>46152</v>
      </c>
      <c r="F101" s="8"/>
      <c r="G101" s="8"/>
      <c r="H101" s="24"/>
      <c r="I101" s="7"/>
      <c r="J101" s="10"/>
    </row>
    <row r="102" spans="4:10" x14ac:dyDescent="0.3">
      <c r="D102" s="3">
        <v>10</v>
      </c>
      <c r="E102" s="19">
        <f t="shared" si="1"/>
        <v>46152</v>
      </c>
      <c r="F102" s="20"/>
      <c r="G102" s="20"/>
      <c r="H102" s="25"/>
      <c r="I102" s="21"/>
      <c r="J102" s="22"/>
    </row>
    <row r="103" spans="4:10" x14ac:dyDescent="0.3">
      <c r="D103" s="3">
        <v>11</v>
      </c>
      <c r="E103" s="15">
        <f t="shared" si="1"/>
        <v>46153</v>
      </c>
      <c r="F103" s="16"/>
      <c r="G103" s="16"/>
      <c r="H103" s="23"/>
      <c r="I103" s="17"/>
      <c r="J103" s="18"/>
    </row>
    <row r="104" spans="4:10" x14ac:dyDescent="0.3">
      <c r="D104" s="3">
        <v>11</v>
      </c>
      <c r="E104" s="9">
        <f t="shared" si="1"/>
        <v>46153</v>
      </c>
      <c r="F104" s="8"/>
      <c r="G104" s="8"/>
      <c r="H104" s="24"/>
      <c r="I104" s="7"/>
      <c r="J104" s="10"/>
    </row>
    <row r="105" spans="4:10" x14ac:dyDescent="0.3">
      <c r="D105" s="3">
        <v>11</v>
      </c>
      <c r="E105" s="9">
        <f t="shared" si="1"/>
        <v>46153</v>
      </c>
      <c r="F105" s="8"/>
      <c r="G105" s="8"/>
      <c r="H105" s="24"/>
      <c r="I105" s="7"/>
      <c r="J105" s="10"/>
    </row>
    <row r="106" spans="4:10" x14ac:dyDescent="0.3">
      <c r="D106" s="3">
        <v>11</v>
      </c>
      <c r="E106" s="9">
        <f t="shared" si="1"/>
        <v>46153</v>
      </c>
      <c r="F106" s="8"/>
      <c r="G106" s="8"/>
      <c r="H106" s="24"/>
      <c r="I106" s="7"/>
      <c r="J106" s="10"/>
    </row>
    <row r="107" spans="4:10" x14ac:dyDescent="0.3">
      <c r="D107" s="3">
        <v>11</v>
      </c>
      <c r="E107" s="9">
        <f t="shared" si="1"/>
        <v>46153</v>
      </c>
      <c r="F107" s="8"/>
      <c r="G107" s="8"/>
      <c r="H107" s="24"/>
      <c r="I107" s="7"/>
      <c r="J107" s="10"/>
    </row>
    <row r="108" spans="4:10" x14ac:dyDescent="0.3">
      <c r="D108" s="3">
        <v>11</v>
      </c>
      <c r="E108" s="9">
        <f t="shared" si="1"/>
        <v>46153</v>
      </c>
      <c r="F108" s="8"/>
      <c r="G108" s="8"/>
      <c r="H108" s="24"/>
      <c r="I108" s="7"/>
      <c r="J108" s="10"/>
    </row>
    <row r="109" spans="4:10" x14ac:dyDescent="0.3">
      <c r="D109" s="3">
        <v>11</v>
      </c>
      <c r="E109" s="9">
        <f t="shared" si="1"/>
        <v>46153</v>
      </c>
      <c r="F109" s="8"/>
      <c r="G109" s="8"/>
      <c r="H109" s="24"/>
      <c r="I109" s="7"/>
      <c r="J109" s="10"/>
    </row>
    <row r="110" spans="4:10" x14ac:dyDescent="0.3">
      <c r="D110" s="3">
        <v>11</v>
      </c>
      <c r="E110" s="9">
        <f t="shared" si="1"/>
        <v>46153</v>
      </c>
      <c r="F110" s="8"/>
      <c r="G110" s="8"/>
      <c r="H110" s="24"/>
      <c r="I110" s="7"/>
      <c r="J110" s="10"/>
    </row>
    <row r="111" spans="4:10" x14ac:dyDescent="0.3">
      <c r="D111" s="3">
        <v>11</v>
      </c>
      <c r="E111" s="9">
        <f t="shared" si="1"/>
        <v>46153</v>
      </c>
      <c r="F111" s="8"/>
      <c r="G111" s="8"/>
      <c r="H111" s="24"/>
      <c r="I111" s="7"/>
      <c r="J111" s="10"/>
    </row>
    <row r="112" spans="4:10" x14ac:dyDescent="0.3">
      <c r="D112" s="3">
        <v>11</v>
      </c>
      <c r="E112" s="19">
        <f t="shared" si="1"/>
        <v>46153</v>
      </c>
      <c r="F112" s="20"/>
      <c r="G112" s="20"/>
      <c r="H112" s="25"/>
      <c r="I112" s="21"/>
      <c r="J112" s="22"/>
    </row>
    <row r="113" spans="4:10" x14ac:dyDescent="0.3">
      <c r="D113" s="3">
        <v>12</v>
      </c>
      <c r="E113" s="15">
        <f t="shared" si="1"/>
        <v>46154</v>
      </c>
      <c r="F113" s="16"/>
      <c r="G113" s="16"/>
      <c r="H113" s="23"/>
      <c r="I113" s="17"/>
      <c r="J113" s="18"/>
    </row>
    <row r="114" spans="4:10" x14ac:dyDescent="0.3">
      <c r="D114" s="3">
        <v>12</v>
      </c>
      <c r="E114" s="9">
        <f t="shared" si="1"/>
        <v>46154</v>
      </c>
      <c r="F114" s="8"/>
      <c r="G114" s="8"/>
      <c r="H114" s="24"/>
      <c r="I114" s="7"/>
      <c r="J114" s="10"/>
    </row>
    <row r="115" spans="4:10" x14ac:dyDescent="0.3">
      <c r="D115" s="3">
        <v>12</v>
      </c>
      <c r="E115" s="9">
        <f t="shared" si="1"/>
        <v>46154</v>
      </c>
      <c r="F115" s="8"/>
      <c r="G115" s="8"/>
      <c r="H115" s="24"/>
      <c r="I115" s="7"/>
      <c r="J115" s="10"/>
    </row>
    <row r="116" spans="4:10" x14ac:dyDescent="0.3">
      <c r="D116" s="3">
        <v>12</v>
      </c>
      <c r="E116" s="9">
        <f t="shared" si="1"/>
        <v>46154</v>
      </c>
      <c r="F116" s="8"/>
      <c r="G116" s="8"/>
      <c r="H116" s="24"/>
      <c r="I116" s="7"/>
      <c r="J116" s="10"/>
    </row>
    <row r="117" spans="4:10" x14ac:dyDescent="0.3">
      <c r="D117" s="3">
        <v>12</v>
      </c>
      <c r="E117" s="9">
        <f t="shared" si="1"/>
        <v>46154</v>
      </c>
      <c r="F117" s="8"/>
      <c r="G117" s="8"/>
      <c r="H117" s="24"/>
      <c r="I117" s="7"/>
      <c r="J117" s="10"/>
    </row>
    <row r="118" spans="4:10" x14ac:dyDescent="0.3">
      <c r="D118" s="3">
        <v>12</v>
      </c>
      <c r="E118" s="9">
        <f t="shared" si="1"/>
        <v>46154</v>
      </c>
      <c r="F118" s="8"/>
      <c r="G118" s="8"/>
      <c r="H118" s="24"/>
      <c r="I118" s="7"/>
      <c r="J118" s="10"/>
    </row>
    <row r="119" spans="4:10" x14ac:dyDescent="0.3">
      <c r="D119" s="3">
        <v>12</v>
      </c>
      <c r="E119" s="9">
        <f t="shared" si="1"/>
        <v>46154</v>
      </c>
      <c r="F119" s="8"/>
      <c r="G119" s="8"/>
      <c r="H119" s="24"/>
      <c r="I119" s="7"/>
      <c r="J119" s="10"/>
    </row>
    <row r="120" spans="4:10" x14ac:dyDescent="0.3">
      <c r="D120" s="3">
        <v>12</v>
      </c>
      <c r="E120" s="9">
        <f t="shared" si="1"/>
        <v>46154</v>
      </c>
      <c r="F120" s="8"/>
      <c r="G120" s="8"/>
      <c r="H120" s="24"/>
      <c r="I120" s="7"/>
      <c r="J120" s="10"/>
    </row>
    <row r="121" spans="4:10" x14ac:dyDescent="0.3">
      <c r="D121" s="3">
        <v>12</v>
      </c>
      <c r="E121" s="9">
        <f t="shared" si="1"/>
        <v>46154</v>
      </c>
      <c r="F121" s="8"/>
      <c r="G121" s="8"/>
      <c r="H121" s="24"/>
      <c r="I121" s="7"/>
      <c r="J121" s="10"/>
    </row>
    <row r="122" spans="4:10" x14ac:dyDescent="0.3">
      <c r="D122" s="3">
        <v>12</v>
      </c>
      <c r="E122" s="19">
        <f t="shared" si="1"/>
        <v>46154</v>
      </c>
      <c r="F122" s="20"/>
      <c r="G122" s="20"/>
      <c r="H122" s="25"/>
      <c r="I122" s="21"/>
      <c r="J122" s="22"/>
    </row>
    <row r="123" spans="4:10" x14ac:dyDescent="0.3">
      <c r="D123" s="3">
        <v>13</v>
      </c>
      <c r="E123" s="15">
        <f t="shared" si="1"/>
        <v>46155</v>
      </c>
      <c r="F123" s="16"/>
      <c r="G123" s="16"/>
      <c r="H123" s="23"/>
      <c r="I123" s="17"/>
      <c r="J123" s="18"/>
    </row>
    <row r="124" spans="4:10" x14ac:dyDescent="0.3">
      <c r="D124" s="3">
        <v>13</v>
      </c>
      <c r="E124" s="9">
        <f t="shared" si="1"/>
        <v>46155</v>
      </c>
      <c r="F124" s="8"/>
      <c r="G124" s="8"/>
      <c r="H124" s="24"/>
      <c r="I124" s="7"/>
      <c r="J124" s="10"/>
    </row>
    <row r="125" spans="4:10" x14ac:dyDescent="0.3">
      <c r="D125" s="3">
        <v>13</v>
      </c>
      <c r="E125" s="9">
        <f t="shared" si="1"/>
        <v>46155</v>
      </c>
      <c r="F125" s="8"/>
      <c r="G125" s="8"/>
      <c r="H125" s="24"/>
      <c r="I125" s="7"/>
      <c r="J125" s="10"/>
    </row>
    <row r="126" spans="4:10" x14ac:dyDescent="0.3">
      <c r="D126" s="3">
        <v>13</v>
      </c>
      <c r="E126" s="9">
        <f t="shared" si="1"/>
        <v>46155</v>
      </c>
      <c r="F126" s="8"/>
      <c r="G126" s="8"/>
      <c r="H126" s="24"/>
      <c r="I126" s="7"/>
      <c r="J126" s="10"/>
    </row>
    <row r="127" spans="4:10" x14ac:dyDescent="0.3">
      <c r="D127" s="3">
        <v>13</v>
      </c>
      <c r="E127" s="9">
        <f t="shared" si="1"/>
        <v>46155</v>
      </c>
      <c r="F127" s="8"/>
      <c r="G127" s="8"/>
      <c r="H127" s="24"/>
      <c r="I127" s="7"/>
      <c r="J127" s="10"/>
    </row>
    <row r="128" spans="4:10" x14ac:dyDescent="0.3">
      <c r="D128" s="3">
        <v>13</v>
      </c>
      <c r="E128" s="9">
        <f t="shared" si="1"/>
        <v>46155</v>
      </c>
      <c r="F128" s="8"/>
      <c r="G128" s="8"/>
      <c r="H128" s="24"/>
      <c r="I128" s="7"/>
      <c r="J128" s="10"/>
    </row>
    <row r="129" spans="4:10" x14ac:dyDescent="0.3">
      <c r="D129" s="3">
        <v>13</v>
      </c>
      <c r="E129" s="9">
        <f t="shared" si="1"/>
        <v>46155</v>
      </c>
      <c r="F129" s="8"/>
      <c r="G129" s="8"/>
      <c r="H129" s="24"/>
      <c r="I129" s="7"/>
      <c r="J129" s="10"/>
    </row>
    <row r="130" spans="4:10" x14ac:dyDescent="0.3">
      <c r="D130" s="3">
        <v>13</v>
      </c>
      <c r="E130" s="9">
        <f t="shared" si="1"/>
        <v>46155</v>
      </c>
      <c r="F130" s="8"/>
      <c r="G130" s="8"/>
      <c r="H130" s="24"/>
      <c r="I130" s="7"/>
      <c r="J130" s="10"/>
    </row>
    <row r="131" spans="4:10" x14ac:dyDescent="0.3">
      <c r="D131" s="3">
        <v>13</v>
      </c>
      <c r="E131" s="9">
        <f t="shared" si="1"/>
        <v>46155</v>
      </c>
      <c r="F131" s="8"/>
      <c r="G131" s="8"/>
      <c r="H131" s="24"/>
      <c r="I131" s="7"/>
      <c r="J131" s="10"/>
    </row>
    <row r="132" spans="4:10" x14ac:dyDescent="0.3">
      <c r="D132" s="3">
        <v>13</v>
      </c>
      <c r="E132" s="19">
        <f t="shared" ref="E132:E195" si="2">DATE($B$1,$B$2,$D132)</f>
        <v>46155</v>
      </c>
      <c r="F132" s="20"/>
      <c r="G132" s="20"/>
      <c r="H132" s="25"/>
      <c r="I132" s="21"/>
      <c r="J132" s="22"/>
    </row>
    <row r="133" spans="4:10" x14ac:dyDescent="0.3">
      <c r="D133" s="3">
        <v>14</v>
      </c>
      <c r="E133" s="15">
        <f t="shared" si="2"/>
        <v>46156</v>
      </c>
      <c r="F133" s="16"/>
      <c r="G133" s="16"/>
      <c r="H133" s="23"/>
      <c r="I133" s="17"/>
      <c r="J133" s="18"/>
    </row>
    <row r="134" spans="4:10" x14ac:dyDescent="0.3">
      <c r="D134" s="3">
        <v>14</v>
      </c>
      <c r="E134" s="9">
        <f t="shared" si="2"/>
        <v>46156</v>
      </c>
      <c r="F134" s="8"/>
      <c r="G134" s="8"/>
      <c r="H134" s="24"/>
      <c r="I134" s="7"/>
      <c r="J134" s="10"/>
    </row>
    <row r="135" spans="4:10" x14ac:dyDescent="0.3">
      <c r="D135" s="3">
        <v>14</v>
      </c>
      <c r="E135" s="9">
        <f t="shared" si="2"/>
        <v>46156</v>
      </c>
      <c r="F135" s="8"/>
      <c r="G135" s="8"/>
      <c r="H135" s="24"/>
      <c r="I135" s="7"/>
      <c r="J135" s="10"/>
    </row>
    <row r="136" spans="4:10" x14ac:dyDescent="0.3">
      <c r="D136" s="3">
        <v>14</v>
      </c>
      <c r="E136" s="9">
        <f t="shared" si="2"/>
        <v>46156</v>
      </c>
      <c r="F136" s="8"/>
      <c r="G136" s="8"/>
      <c r="H136" s="24"/>
      <c r="I136" s="7"/>
      <c r="J136" s="10"/>
    </row>
    <row r="137" spans="4:10" x14ac:dyDescent="0.3">
      <c r="D137" s="3">
        <v>14</v>
      </c>
      <c r="E137" s="9">
        <f t="shared" si="2"/>
        <v>46156</v>
      </c>
      <c r="F137" s="8"/>
      <c r="G137" s="8"/>
      <c r="H137" s="24"/>
      <c r="I137" s="7"/>
      <c r="J137" s="10"/>
    </row>
    <row r="138" spans="4:10" x14ac:dyDescent="0.3">
      <c r="D138" s="3">
        <v>14</v>
      </c>
      <c r="E138" s="9">
        <f t="shared" si="2"/>
        <v>46156</v>
      </c>
      <c r="F138" s="8"/>
      <c r="G138" s="8"/>
      <c r="H138" s="24"/>
      <c r="I138" s="7"/>
      <c r="J138" s="10"/>
    </row>
    <row r="139" spans="4:10" x14ac:dyDescent="0.3">
      <c r="D139" s="3">
        <v>14</v>
      </c>
      <c r="E139" s="9">
        <f t="shared" si="2"/>
        <v>46156</v>
      </c>
      <c r="F139" s="8"/>
      <c r="G139" s="8"/>
      <c r="H139" s="24"/>
      <c r="I139" s="7"/>
      <c r="J139" s="10"/>
    </row>
    <row r="140" spans="4:10" x14ac:dyDescent="0.3">
      <c r="D140" s="3">
        <v>14</v>
      </c>
      <c r="E140" s="9">
        <f t="shared" si="2"/>
        <v>46156</v>
      </c>
      <c r="F140" s="8"/>
      <c r="G140" s="8"/>
      <c r="H140" s="24"/>
      <c r="I140" s="7"/>
      <c r="J140" s="10"/>
    </row>
    <row r="141" spans="4:10" x14ac:dyDescent="0.3">
      <c r="D141" s="3">
        <v>14</v>
      </c>
      <c r="E141" s="9">
        <f t="shared" si="2"/>
        <v>46156</v>
      </c>
      <c r="F141" s="8"/>
      <c r="G141" s="8"/>
      <c r="H141" s="24"/>
      <c r="I141" s="7"/>
      <c r="J141" s="10"/>
    </row>
    <row r="142" spans="4:10" x14ac:dyDescent="0.3">
      <c r="D142" s="3">
        <v>14</v>
      </c>
      <c r="E142" s="19">
        <f t="shared" si="2"/>
        <v>46156</v>
      </c>
      <c r="F142" s="20"/>
      <c r="G142" s="20"/>
      <c r="H142" s="25"/>
      <c r="I142" s="21"/>
      <c r="J142" s="22"/>
    </row>
    <row r="143" spans="4:10" x14ac:dyDescent="0.3">
      <c r="D143" s="3">
        <v>15</v>
      </c>
      <c r="E143" s="15">
        <f t="shared" si="2"/>
        <v>46157</v>
      </c>
      <c r="F143" s="16"/>
      <c r="G143" s="16"/>
      <c r="H143" s="23"/>
      <c r="I143" s="17"/>
      <c r="J143" s="18"/>
    </row>
    <row r="144" spans="4:10" x14ac:dyDescent="0.3">
      <c r="D144" s="3">
        <v>15</v>
      </c>
      <c r="E144" s="9">
        <f t="shared" si="2"/>
        <v>46157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46157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46157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46157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46157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46157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46157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46157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46157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46158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46158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46158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46158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46158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46158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46158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46158</v>
      </c>
      <c r="F160" s="8"/>
      <c r="G160" s="8"/>
      <c r="H160" s="24"/>
      <c r="I160" s="7"/>
      <c r="J160" s="10"/>
    </row>
    <row r="161" spans="4:10" x14ac:dyDescent="0.3">
      <c r="D161" s="3">
        <v>16</v>
      </c>
      <c r="E161" s="9">
        <f t="shared" si="2"/>
        <v>46158</v>
      </c>
      <c r="F161" s="8"/>
      <c r="G161" s="8"/>
      <c r="H161" s="24"/>
      <c r="I161" s="7"/>
      <c r="J161" s="10"/>
    </row>
    <row r="162" spans="4:10" x14ac:dyDescent="0.3">
      <c r="D162" s="3">
        <v>16</v>
      </c>
      <c r="E162" s="19">
        <f t="shared" si="2"/>
        <v>46158</v>
      </c>
      <c r="F162" s="20"/>
      <c r="G162" s="20"/>
      <c r="H162" s="25"/>
      <c r="I162" s="21"/>
      <c r="J162" s="22"/>
    </row>
    <row r="163" spans="4:10" x14ac:dyDescent="0.3">
      <c r="D163" s="3">
        <v>17</v>
      </c>
      <c r="E163" s="15">
        <f t="shared" si="2"/>
        <v>46159</v>
      </c>
      <c r="F163" s="16"/>
      <c r="G163" s="16"/>
      <c r="H163" s="23"/>
      <c r="I163" s="17"/>
      <c r="J163" s="18"/>
    </row>
    <row r="164" spans="4:10" x14ac:dyDescent="0.3">
      <c r="D164" s="3">
        <v>17</v>
      </c>
      <c r="E164" s="9">
        <f t="shared" si="2"/>
        <v>46159</v>
      </c>
      <c r="F164" s="8"/>
      <c r="G164" s="8"/>
      <c r="H164" s="24"/>
      <c r="I164" s="7"/>
      <c r="J164" s="10"/>
    </row>
    <row r="165" spans="4:10" x14ac:dyDescent="0.3">
      <c r="D165" s="3">
        <v>17</v>
      </c>
      <c r="E165" s="9">
        <f t="shared" si="2"/>
        <v>46159</v>
      </c>
      <c r="F165" s="8"/>
      <c r="G165" s="8"/>
      <c r="H165" s="24"/>
      <c r="I165" s="7"/>
      <c r="J165" s="10"/>
    </row>
    <row r="166" spans="4:10" x14ac:dyDescent="0.3">
      <c r="D166" s="3">
        <v>17</v>
      </c>
      <c r="E166" s="9">
        <f t="shared" si="2"/>
        <v>46159</v>
      </c>
      <c r="F166" s="8"/>
      <c r="G166" s="8"/>
      <c r="H166" s="24"/>
      <c r="I166" s="7"/>
      <c r="J166" s="10"/>
    </row>
    <row r="167" spans="4:10" x14ac:dyDescent="0.3">
      <c r="D167" s="3">
        <v>17</v>
      </c>
      <c r="E167" s="9">
        <f t="shared" si="2"/>
        <v>46159</v>
      </c>
      <c r="F167" s="8"/>
      <c r="G167" s="8"/>
      <c r="H167" s="24"/>
      <c r="I167" s="7"/>
      <c r="J167" s="10"/>
    </row>
    <row r="168" spans="4:10" x14ac:dyDescent="0.3">
      <c r="D168" s="3">
        <v>17</v>
      </c>
      <c r="E168" s="9">
        <f t="shared" si="2"/>
        <v>46159</v>
      </c>
      <c r="F168" s="8"/>
      <c r="G168" s="8"/>
      <c r="H168" s="24"/>
      <c r="I168" s="7"/>
      <c r="J168" s="10"/>
    </row>
    <row r="169" spans="4:10" x14ac:dyDescent="0.3">
      <c r="D169" s="3">
        <v>17</v>
      </c>
      <c r="E169" s="9">
        <f t="shared" si="2"/>
        <v>46159</v>
      </c>
      <c r="F169" s="8"/>
      <c r="G169" s="8"/>
      <c r="H169" s="24"/>
      <c r="I169" s="7"/>
      <c r="J169" s="10"/>
    </row>
    <row r="170" spans="4:10" x14ac:dyDescent="0.3">
      <c r="D170" s="3">
        <v>17</v>
      </c>
      <c r="E170" s="9">
        <f t="shared" si="2"/>
        <v>46159</v>
      </c>
      <c r="F170" s="8"/>
      <c r="G170" s="8"/>
      <c r="H170" s="24"/>
      <c r="I170" s="7"/>
      <c r="J170" s="10"/>
    </row>
    <row r="171" spans="4:10" x14ac:dyDescent="0.3">
      <c r="D171" s="3">
        <v>17</v>
      </c>
      <c r="E171" s="9">
        <f t="shared" si="2"/>
        <v>46159</v>
      </c>
      <c r="F171" s="8"/>
      <c r="G171" s="8"/>
      <c r="H171" s="24"/>
      <c r="I171" s="7"/>
      <c r="J171" s="10"/>
    </row>
    <row r="172" spans="4:10" x14ac:dyDescent="0.3">
      <c r="D172" s="3">
        <v>17</v>
      </c>
      <c r="E172" s="19">
        <f t="shared" si="2"/>
        <v>46159</v>
      </c>
      <c r="F172" s="20"/>
      <c r="G172" s="20"/>
      <c r="H172" s="25"/>
      <c r="I172" s="21"/>
      <c r="J172" s="22"/>
    </row>
    <row r="173" spans="4:10" x14ac:dyDescent="0.3">
      <c r="D173" s="3">
        <v>18</v>
      </c>
      <c r="E173" s="15">
        <f t="shared" si="2"/>
        <v>46160</v>
      </c>
      <c r="F173" s="16"/>
      <c r="G173" s="16"/>
      <c r="H173" s="23"/>
      <c r="I173" s="17"/>
      <c r="J173" s="18"/>
    </row>
    <row r="174" spans="4:10" x14ac:dyDescent="0.3">
      <c r="D174" s="3">
        <v>18</v>
      </c>
      <c r="E174" s="9">
        <f t="shared" si="2"/>
        <v>46160</v>
      </c>
      <c r="F174" s="8"/>
      <c r="G174" s="8"/>
      <c r="H174" s="24"/>
      <c r="I174" s="7"/>
      <c r="J174" s="10"/>
    </row>
    <row r="175" spans="4:10" x14ac:dyDescent="0.3">
      <c r="D175" s="3">
        <v>18</v>
      </c>
      <c r="E175" s="9">
        <f t="shared" si="2"/>
        <v>46160</v>
      </c>
      <c r="F175" s="8"/>
      <c r="G175" s="8"/>
      <c r="H175" s="24"/>
      <c r="I175" s="7"/>
      <c r="J175" s="10"/>
    </row>
    <row r="176" spans="4:10" x14ac:dyDescent="0.3">
      <c r="D176" s="3">
        <v>18</v>
      </c>
      <c r="E176" s="9">
        <f t="shared" si="2"/>
        <v>46160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46160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46160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46160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46160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46160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46160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46161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46161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46161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46161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46161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46161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46161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46161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46161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46161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46162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46162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46162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46162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46162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46162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46162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46162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46162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46162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46163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46163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46163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46163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46163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46163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46163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46163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46163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46163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46164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46164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46164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46164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46164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46164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46164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46164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46164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46164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46165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46165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46165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46165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46165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46165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46165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46165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46165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46165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46166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46166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46166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46166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46166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46166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46166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46166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46166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46166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46167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46167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46167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46167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46167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46167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46167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46167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46167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46167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46168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46168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46168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46168</v>
      </c>
      <c r="F256" s="8"/>
      <c r="G256" s="8"/>
      <c r="H256" s="24"/>
      <c r="I256" s="7"/>
      <c r="J256" s="10"/>
    </row>
    <row r="257" spans="4:10" x14ac:dyDescent="0.3">
      <c r="D257" s="3">
        <v>26</v>
      </c>
      <c r="E257" s="9">
        <f t="shared" si="3"/>
        <v>46168</v>
      </c>
      <c r="F257" s="8"/>
      <c r="G257" s="8"/>
      <c r="H257" s="24"/>
      <c r="I257" s="7"/>
      <c r="J257" s="10"/>
    </row>
    <row r="258" spans="4:10" x14ac:dyDescent="0.3">
      <c r="D258" s="3">
        <v>26</v>
      </c>
      <c r="E258" s="9">
        <f t="shared" si="3"/>
        <v>46168</v>
      </c>
      <c r="F258" s="8"/>
      <c r="G258" s="8"/>
      <c r="H258" s="24"/>
      <c r="I258" s="7"/>
      <c r="J258" s="10"/>
    </row>
    <row r="259" spans="4:10" x14ac:dyDescent="0.3">
      <c r="D259" s="3">
        <v>26</v>
      </c>
      <c r="E259" s="9">
        <f t="shared" si="3"/>
        <v>46168</v>
      </c>
      <c r="F259" s="8"/>
      <c r="G259" s="8"/>
      <c r="H259" s="24"/>
      <c r="I259" s="7"/>
      <c r="J259" s="10"/>
    </row>
    <row r="260" spans="4:10" x14ac:dyDescent="0.3">
      <c r="D260" s="3">
        <v>26</v>
      </c>
      <c r="E260" s="9">
        <f t="shared" ref="E260:E312" si="4">DATE($B$1,$B$2,$D260)</f>
        <v>46168</v>
      </c>
      <c r="F260" s="8"/>
      <c r="G260" s="8"/>
      <c r="H260" s="24"/>
      <c r="I260" s="7"/>
      <c r="J260" s="10"/>
    </row>
    <row r="261" spans="4:10" x14ac:dyDescent="0.3">
      <c r="D261" s="3">
        <v>26</v>
      </c>
      <c r="E261" s="9">
        <f t="shared" si="4"/>
        <v>46168</v>
      </c>
      <c r="F261" s="8"/>
      <c r="G261" s="8"/>
      <c r="H261" s="24"/>
      <c r="I261" s="7"/>
      <c r="J261" s="10"/>
    </row>
    <row r="262" spans="4:10" x14ac:dyDescent="0.3">
      <c r="D262" s="3">
        <v>26</v>
      </c>
      <c r="E262" s="19">
        <f t="shared" si="4"/>
        <v>46168</v>
      </c>
      <c r="F262" s="20"/>
      <c r="G262" s="20"/>
      <c r="H262" s="25"/>
      <c r="I262" s="21"/>
      <c r="J262" s="22"/>
    </row>
    <row r="263" spans="4:10" x14ac:dyDescent="0.3">
      <c r="D263" s="3">
        <v>27</v>
      </c>
      <c r="E263" s="15">
        <f t="shared" si="4"/>
        <v>46169</v>
      </c>
      <c r="F263" s="16"/>
      <c r="G263" s="16"/>
      <c r="H263" s="23"/>
      <c r="I263" s="17"/>
      <c r="J263" s="18"/>
    </row>
    <row r="264" spans="4:10" x14ac:dyDescent="0.3">
      <c r="D264" s="3">
        <v>27</v>
      </c>
      <c r="E264" s="9">
        <f t="shared" si="4"/>
        <v>46169</v>
      </c>
      <c r="F264" s="8"/>
      <c r="G264" s="8"/>
      <c r="H264" s="24"/>
      <c r="I264" s="7"/>
      <c r="J264" s="10"/>
    </row>
    <row r="265" spans="4:10" x14ac:dyDescent="0.3">
      <c r="D265" s="3">
        <v>27</v>
      </c>
      <c r="E265" s="9">
        <f t="shared" si="4"/>
        <v>46169</v>
      </c>
      <c r="F265" s="8"/>
      <c r="G265" s="8"/>
      <c r="H265" s="24"/>
      <c r="I265" s="7"/>
      <c r="J265" s="10"/>
    </row>
    <row r="266" spans="4:10" x14ac:dyDescent="0.3">
      <c r="D266" s="3">
        <v>27</v>
      </c>
      <c r="E266" s="9">
        <f t="shared" si="4"/>
        <v>46169</v>
      </c>
      <c r="F266" s="8"/>
      <c r="G266" s="8"/>
      <c r="H266" s="24"/>
      <c r="I266" s="7"/>
      <c r="J266" s="10"/>
    </row>
    <row r="267" spans="4:10" x14ac:dyDescent="0.3">
      <c r="D267" s="3">
        <v>27</v>
      </c>
      <c r="E267" s="9">
        <f t="shared" si="4"/>
        <v>46169</v>
      </c>
      <c r="F267" s="8"/>
      <c r="G267" s="8"/>
      <c r="H267" s="24"/>
      <c r="I267" s="7"/>
      <c r="J267" s="10"/>
    </row>
    <row r="268" spans="4:10" x14ac:dyDescent="0.3">
      <c r="D268" s="3">
        <v>27</v>
      </c>
      <c r="E268" s="9">
        <f t="shared" si="4"/>
        <v>46169</v>
      </c>
      <c r="F268" s="8"/>
      <c r="G268" s="8"/>
      <c r="H268" s="24"/>
      <c r="I268" s="7"/>
      <c r="J268" s="10"/>
    </row>
    <row r="269" spans="4:10" x14ac:dyDescent="0.3">
      <c r="D269" s="3">
        <v>27</v>
      </c>
      <c r="E269" s="9">
        <f t="shared" si="4"/>
        <v>46169</v>
      </c>
      <c r="F269" s="8"/>
      <c r="G269" s="8"/>
      <c r="H269" s="24"/>
      <c r="I269" s="7"/>
      <c r="J269" s="10"/>
    </row>
    <row r="270" spans="4:10" x14ac:dyDescent="0.3">
      <c r="D270" s="3">
        <v>27</v>
      </c>
      <c r="E270" s="9">
        <f t="shared" si="4"/>
        <v>46169</v>
      </c>
      <c r="F270" s="8"/>
      <c r="G270" s="8"/>
      <c r="H270" s="24"/>
      <c r="I270" s="7"/>
      <c r="J270" s="10"/>
    </row>
    <row r="271" spans="4:10" x14ac:dyDescent="0.3">
      <c r="D271" s="3">
        <v>27</v>
      </c>
      <c r="E271" s="9">
        <f t="shared" si="4"/>
        <v>46169</v>
      </c>
      <c r="F271" s="8"/>
      <c r="G271" s="8"/>
      <c r="H271" s="24"/>
      <c r="I271" s="7"/>
      <c r="J271" s="10"/>
    </row>
    <row r="272" spans="4:10" x14ac:dyDescent="0.3">
      <c r="D272" s="3">
        <v>27</v>
      </c>
      <c r="E272" s="19">
        <f t="shared" si="4"/>
        <v>46169</v>
      </c>
      <c r="F272" s="20"/>
      <c r="G272" s="20"/>
      <c r="H272" s="25"/>
      <c r="I272" s="21"/>
      <c r="J272" s="22"/>
    </row>
    <row r="273" spans="4:10" x14ac:dyDescent="0.3">
      <c r="D273" s="3">
        <v>28</v>
      </c>
      <c r="E273" s="15">
        <f t="shared" si="4"/>
        <v>46170</v>
      </c>
      <c r="F273" s="16"/>
      <c r="G273" s="16"/>
      <c r="H273" s="23"/>
      <c r="I273" s="17"/>
      <c r="J273" s="18"/>
    </row>
    <row r="274" spans="4:10" x14ac:dyDescent="0.3">
      <c r="D274" s="3">
        <v>28</v>
      </c>
      <c r="E274" s="9">
        <f t="shared" si="4"/>
        <v>46170</v>
      </c>
      <c r="F274" s="8"/>
      <c r="G274" s="8"/>
      <c r="H274" s="24"/>
      <c r="I274" s="7"/>
      <c r="J274" s="10"/>
    </row>
    <row r="275" spans="4:10" x14ac:dyDescent="0.3">
      <c r="D275" s="3">
        <v>28</v>
      </c>
      <c r="E275" s="9">
        <f t="shared" si="4"/>
        <v>46170</v>
      </c>
      <c r="F275" s="8"/>
      <c r="G275" s="8"/>
      <c r="H275" s="24"/>
      <c r="I275" s="7"/>
      <c r="J275" s="10"/>
    </row>
    <row r="276" spans="4:10" x14ac:dyDescent="0.3">
      <c r="D276" s="3">
        <v>28</v>
      </c>
      <c r="E276" s="9">
        <f t="shared" si="4"/>
        <v>46170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46170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46170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46170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46170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46170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19">
        <f t="shared" si="4"/>
        <v>46170</v>
      </c>
      <c r="F282" s="20"/>
      <c r="G282" s="20"/>
      <c r="H282" s="25"/>
      <c r="I282" s="21"/>
      <c r="J282" s="22"/>
    </row>
    <row r="283" spans="4:10" x14ac:dyDescent="0.3">
      <c r="D283" s="3">
        <v>29</v>
      </c>
      <c r="E283" s="15">
        <f t="shared" si="4"/>
        <v>46171</v>
      </c>
      <c r="F283" s="16"/>
      <c r="G283" s="16"/>
      <c r="H283" s="23"/>
      <c r="I283" s="17"/>
      <c r="J283" s="18"/>
    </row>
    <row r="284" spans="4:10" x14ac:dyDescent="0.3">
      <c r="D284" s="3">
        <v>29</v>
      </c>
      <c r="E284" s="9">
        <f t="shared" si="4"/>
        <v>46171</v>
      </c>
      <c r="F284" s="8"/>
      <c r="G284" s="8"/>
      <c r="H284" s="24"/>
      <c r="I284" s="7"/>
      <c r="J284" s="10"/>
    </row>
    <row r="285" spans="4:10" x14ac:dyDescent="0.3">
      <c r="D285" s="3">
        <v>29</v>
      </c>
      <c r="E285" s="9">
        <f t="shared" si="4"/>
        <v>46171</v>
      </c>
      <c r="F285" s="8"/>
      <c r="G285" s="8"/>
      <c r="H285" s="24"/>
      <c r="I285" s="7"/>
      <c r="J285" s="10"/>
    </row>
    <row r="286" spans="4:10" x14ac:dyDescent="0.3">
      <c r="D286" s="3">
        <v>29</v>
      </c>
      <c r="E286" s="9">
        <f t="shared" si="4"/>
        <v>46171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46171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46171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46171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46171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46171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46171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46172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46172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46172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46172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46172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46172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46172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46172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46172</v>
      </c>
      <c r="F301" s="8"/>
      <c r="G301" s="8"/>
      <c r="H301" s="24"/>
      <c r="I301" s="7"/>
      <c r="J301" s="10"/>
    </row>
    <row r="302" spans="4:10" x14ac:dyDescent="0.3">
      <c r="D302" s="3">
        <v>30</v>
      </c>
      <c r="E302" s="19">
        <f t="shared" si="4"/>
        <v>46172</v>
      </c>
      <c r="F302" s="20"/>
      <c r="G302" s="20"/>
      <c r="H302" s="25"/>
      <c r="I302" s="21"/>
      <c r="J302" s="22"/>
    </row>
    <row r="303" spans="4:10" x14ac:dyDescent="0.3">
      <c r="D303" s="3">
        <v>31</v>
      </c>
      <c r="E303" s="15">
        <f t="shared" si="4"/>
        <v>46173</v>
      </c>
      <c r="F303" s="16"/>
      <c r="G303" s="16"/>
      <c r="H303" s="23"/>
      <c r="I303" s="17"/>
      <c r="J303" s="18"/>
    </row>
    <row r="304" spans="4:10" x14ac:dyDescent="0.3">
      <c r="D304" s="3">
        <v>31</v>
      </c>
      <c r="E304" s="9">
        <f t="shared" si="4"/>
        <v>46173</v>
      </c>
      <c r="F304" s="8"/>
      <c r="G304" s="8"/>
      <c r="H304" s="24"/>
      <c r="I304" s="7"/>
      <c r="J304" s="10"/>
    </row>
    <row r="305" spans="4:10" x14ac:dyDescent="0.3">
      <c r="D305" s="3">
        <v>31</v>
      </c>
      <c r="E305" s="9">
        <f t="shared" si="4"/>
        <v>46173</v>
      </c>
      <c r="F305" s="8"/>
      <c r="G305" s="8"/>
      <c r="H305" s="24"/>
      <c r="I305" s="7"/>
      <c r="J305" s="10"/>
    </row>
    <row r="306" spans="4:10" x14ac:dyDescent="0.3">
      <c r="D306" s="3">
        <v>31</v>
      </c>
      <c r="E306" s="9">
        <f t="shared" si="4"/>
        <v>46173</v>
      </c>
      <c r="F306" s="8"/>
      <c r="G306" s="8"/>
      <c r="H306" s="24"/>
      <c r="I306" s="7"/>
      <c r="J306" s="10"/>
    </row>
    <row r="307" spans="4:10" x14ac:dyDescent="0.3">
      <c r="D307" s="3">
        <v>31</v>
      </c>
      <c r="E307" s="9">
        <f t="shared" si="4"/>
        <v>46173</v>
      </c>
      <c r="F307" s="8"/>
      <c r="G307" s="8"/>
      <c r="H307" s="24"/>
      <c r="I307" s="7"/>
      <c r="J307" s="10"/>
    </row>
    <row r="308" spans="4:10" x14ac:dyDescent="0.3">
      <c r="D308" s="3">
        <v>31</v>
      </c>
      <c r="E308" s="9">
        <f t="shared" si="4"/>
        <v>46173</v>
      </c>
      <c r="F308" s="8"/>
      <c r="G308" s="8"/>
      <c r="H308" s="24"/>
      <c r="I308" s="7"/>
      <c r="J308" s="10"/>
    </row>
    <row r="309" spans="4:10" x14ac:dyDescent="0.3">
      <c r="D309" s="3">
        <v>31</v>
      </c>
      <c r="E309" s="9">
        <f t="shared" si="4"/>
        <v>46173</v>
      </c>
      <c r="F309" s="8"/>
      <c r="G309" s="8"/>
      <c r="H309" s="24"/>
      <c r="I309" s="7"/>
      <c r="J309" s="10"/>
    </row>
    <row r="310" spans="4:10" x14ac:dyDescent="0.3">
      <c r="D310" s="3">
        <v>31</v>
      </c>
      <c r="E310" s="9">
        <f t="shared" si="4"/>
        <v>46173</v>
      </c>
      <c r="F310" s="8"/>
      <c r="G310" s="8"/>
      <c r="H310" s="24"/>
      <c r="I310" s="7"/>
      <c r="J310" s="10"/>
    </row>
    <row r="311" spans="4:10" x14ac:dyDescent="0.3">
      <c r="D311" s="3">
        <v>31</v>
      </c>
      <c r="E311" s="9">
        <f t="shared" si="4"/>
        <v>46173</v>
      </c>
      <c r="F311" s="8"/>
      <c r="G311" s="8"/>
      <c r="H311" s="24"/>
      <c r="I311" s="7"/>
      <c r="J311" s="10"/>
    </row>
    <row r="312" spans="4:10" ht="14.25" thickBot="1" x14ac:dyDescent="0.35">
      <c r="D312" s="3">
        <v>31</v>
      </c>
      <c r="E312" s="11">
        <f t="shared" si="4"/>
        <v>46173</v>
      </c>
      <c r="F312" s="12"/>
      <c r="G312" s="12"/>
      <c r="H312" s="26"/>
      <c r="I312" s="13"/>
      <c r="J312" s="14"/>
    </row>
    <row r="313" spans="4:10" x14ac:dyDescent="0.3">
      <c r="F313" s="6"/>
      <c r="G313" s="6"/>
    </row>
    <row r="314" spans="4:10" x14ac:dyDescent="0.3">
      <c r="F314" s="6"/>
      <c r="G314" s="6"/>
    </row>
    <row r="315" spans="4:10" x14ac:dyDescent="0.3">
      <c r="F315" s="6"/>
      <c r="G315" s="6"/>
    </row>
    <row r="316" spans="4:10" x14ac:dyDescent="0.3">
      <c r="F316" s="6"/>
      <c r="G316" s="6"/>
    </row>
    <row r="317" spans="4:10" x14ac:dyDescent="0.3">
      <c r="F317" s="6"/>
      <c r="G317" s="6"/>
    </row>
    <row r="318" spans="4:10" x14ac:dyDescent="0.3">
      <c r="F318" s="6"/>
      <c r="G318" s="6"/>
    </row>
    <row r="319" spans="4:10" x14ac:dyDescent="0.3">
      <c r="F319" s="6"/>
      <c r="G319" s="6"/>
    </row>
    <row r="320" spans="4:10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  <row r="331" spans="6:7" x14ac:dyDescent="0.3">
      <c r="F331" s="6"/>
      <c r="G331" s="6"/>
    </row>
    <row r="332" spans="6:7" x14ac:dyDescent="0.3">
      <c r="F332" s="6"/>
      <c r="G332" s="6"/>
    </row>
    <row r="333" spans="6:7" x14ac:dyDescent="0.3">
      <c r="F333" s="6"/>
      <c r="G333" s="6"/>
    </row>
    <row r="334" spans="6:7" x14ac:dyDescent="0.3">
      <c r="F334" s="6"/>
      <c r="G334" s="6"/>
    </row>
    <row r="335" spans="6:7" x14ac:dyDescent="0.3">
      <c r="F335" s="6"/>
      <c r="G335" s="6"/>
    </row>
    <row r="336" spans="6:7" x14ac:dyDescent="0.3">
      <c r="F336" s="6"/>
      <c r="G336" s="6"/>
    </row>
    <row r="337" spans="6:7" x14ac:dyDescent="0.3">
      <c r="F337" s="6"/>
      <c r="G337" s="6"/>
    </row>
    <row r="338" spans="6:7" x14ac:dyDescent="0.3">
      <c r="F338" s="6"/>
      <c r="G338" s="6"/>
    </row>
    <row r="339" spans="6:7" x14ac:dyDescent="0.3">
      <c r="F339" s="6"/>
      <c r="G339" s="6"/>
    </row>
    <row r="340" spans="6:7" x14ac:dyDescent="0.3">
      <c r="F340" s="6"/>
      <c r="G34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참조!$G$2:$G$3</xm:f>
          </x14:formula1>
          <xm:sqref>G313:G340</xm:sqref>
        </x14:dataValidation>
        <x14:dataValidation type="list" allowBlank="1" showInputMessage="1" showErrorMessage="1">
          <x14:formula1>
            <xm:f>참조!$F$2:$F$3</xm:f>
          </x14:formula1>
          <xm:sqref>F3:F340</xm:sqref>
        </x14:dataValidation>
        <x14:dataValidation type="list" allowBlank="1" showInputMessage="1" showErrorMessage="1">
          <x14:formula1>
            <xm:f>참조!$G:$G</xm:f>
          </x14:formula1>
          <xm:sqref>G3:G312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0"/>
  <sheetViews>
    <sheetView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f>'2026년달력'!A1</f>
        <v>2026</v>
      </c>
    </row>
    <row r="2" spans="1:10" ht="14.25" thickBot="1" x14ac:dyDescent="0.35">
      <c r="A2" s="3" t="s">
        <v>1</v>
      </c>
      <c r="B2" s="3">
        <v>6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46174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46174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46174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46174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46174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46174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46174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46174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46174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46174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46175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46175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46175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46175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46175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46175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46175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46175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46175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46175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46176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46176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46176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46176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46176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46176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46176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46176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46176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46176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46177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46177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46177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46177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46177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46177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46177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46177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46177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46177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46178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46178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46178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46178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46178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46178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46178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46178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46178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46178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46179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46179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46179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46179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46179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46179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46179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46179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46179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46179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46180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46180</v>
      </c>
      <c r="F64" s="8"/>
      <c r="G64" s="8"/>
      <c r="H64" s="24"/>
      <c r="I64" s="7"/>
      <c r="J64" s="10"/>
    </row>
    <row r="65" spans="4:10" x14ac:dyDescent="0.3">
      <c r="D65" s="3">
        <v>7</v>
      </c>
      <c r="E65" s="9">
        <f t="shared" si="0"/>
        <v>46180</v>
      </c>
      <c r="F65" s="8"/>
      <c r="G65" s="8"/>
      <c r="H65" s="24"/>
      <c r="I65" s="7"/>
      <c r="J65" s="10"/>
    </row>
    <row r="66" spans="4:10" x14ac:dyDescent="0.3">
      <c r="D66" s="3">
        <v>7</v>
      </c>
      <c r="E66" s="9">
        <f t="shared" si="0"/>
        <v>46180</v>
      </c>
      <c r="F66" s="8"/>
      <c r="G66" s="8"/>
      <c r="H66" s="24"/>
      <c r="I66" s="7"/>
      <c r="J66" s="10"/>
    </row>
    <row r="67" spans="4:10" x14ac:dyDescent="0.3">
      <c r="D67" s="3">
        <v>7</v>
      </c>
      <c r="E67" s="9">
        <f t="shared" si="0"/>
        <v>46180</v>
      </c>
      <c r="F67" s="8"/>
      <c r="G67" s="8"/>
      <c r="H67" s="24"/>
      <c r="I67" s="7"/>
      <c r="J67" s="10"/>
    </row>
    <row r="68" spans="4:10" x14ac:dyDescent="0.3">
      <c r="D68" s="3">
        <v>7</v>
      </c>
      <c r="E68" s="9">
        <f t="shared" ref="E68:E131" si="1">DATE($B$1,$B$2,$D68)</f>
        <v>46180</v>
      </c>
      <c r="F68" s="8"/>
      <c r="G68" s="8"/>
      <c r="H68" s="24"/>
      <c r="I68" s="7"/>
      <c r="J68" s="10"/>
    </row>
    <row r="69" spans="4:10" x14ac:dyDescent="0.3">
      <c r="D69" s="3">
        <v>7</v>
      </c>
      <c r="E69" s="9">
        <f t="shared" si="1"/>
        <v>46180</v>
      </c>
      <c r="F69" s="8"/>
      <c r="G69" s="8"/>
      <c r="H69" s="24"/>
      <c r="I69" s="7"/>
      <c r="J69" s="10"/>
    </row>
    <row r="70" spans="4:10" x14ac:dyDescent="0.3">
      <c r="D70" s="3">
        <v>7</v>
      </c>
      <c r="E70" s="9">
        <f t="shared" si="1"/>
        <v>46180</v>
      </c>
      <c r="F70" s="8"/>
      <c r="G70" s="8"/>
      <c r="H70" s="24"/>
      <c r="I70" s="7"/>
      <c r="J70" s="10"/>
    </row>
    <row r="71" spans="4:10" x14ac:dyDescent="0.3">
      <c r="D71" s="3">
        <v>7</v>
      </c>
      <c r="E71" s="9">
        <f t="shared" si="1"/>
        <v>46180</v>
      </c>
      <c r="F71" s="8"/>
      <c r="G71" s="8"/>
      <c r="H71" s="24"/>
      <c r="I71" s="7"/>
      <c r="J71" s="10"/>
    </row>
    <row r="72" spans="4:10" x14ac:dyDescent="0.3">
      <c r="D72" s="3">
        <v>7</v>
      </c>
      <c r="E72" s="19">
        <f t="shared" si="1"/>
        <v>46180</v>
      </c>
      <c r="F72" s="20"/>
      <c r="G72" s="20"/>
      <c r="H72" s="25"/>
      <c r="I72" s="21"/>
      <c r="J72" s="22"/>
    </row>
    <row r="73" spans="4:10" x14ac:dyDescent="0.3">
      <c r="D73" s="3">
        <v>8</v>
      </c>
      <c r="E73" s="15">
        <f t="shared" si="1"/>
        <v>46181</v>
      </c>
      <c r="F73" s="16"/>
      <c r="G73" s="16"/>
      <c r="H73" s="23"/>
      <c r="I73" s="17"/>
      <c r="J73" s="18"/>
    </row>
    <row r="74" spans="4:10" x14ac:dyDescent="0.3">
      <c r="D74" s="3">
        <v>8</v>
      </c>
      <c r="E74" s="9">
        <f t="shared" si="1"/>
        <v>46181</v>
      </c>
      <c r="F74" s="8"/>
      <c r="G74" s="8"/>
      <c r="H74" s="24"/>
      <c r="I74" s="7"/>
      <c r="J74" s="10"/>
    </row>
    <row r="75" spans="4:10" x14ac:dyDescent="0.3">
      <c r="D75" s="3">
        <v>8</v>
      </c>
      <c r="E75" s="9">
        <f t="shared" si="1"/>
        <v>46181</v>
      </c>
      <c r="F75" s="8"/>
      <c r="G75" s="8"/>
      <c r="H75" s="24"/>
      <c r="I75" s="7"/>
      <c r="J75" s="10"/>
    </row>
    <row r="76" spans="4:10" x14ac:dyDescent="0.3">
      <c r="D76" s="3">
        <v>8</v>
      </c>
      <c r="E76" s="9">
        <f t="shared" si="1"/>
        <v>46181</v>
      </c>
      <c r="F76" s="8"/>
      <c r="G76" s="8"/>
      <c r="H76" s="24"/>
      <c r="I76" s="7"/>
      <c r="J76" s="10"/>
    </row>
    <row r="77" spans="4:10" x14ac:dyDescent="0.3">
      <c r="D77" s="3">
        <v>8</v>
      </c>
      <c r="E77" s="9">
        <f t="shared" si="1"/>
        <v>46181</v>
      </c>
      <c r="F77" s="8"/>
      <c r="G77" s="8"/>
      <c r="H77" s="24"/>
      <c r="I77" s="7"/>
      <c r="J77" s="10"/>
    </row>
    <row r="78" spans="4:10" x14ac:dyDescent="0.3">
      <c r="D78" s="3">
        <v>8</v>
      </c>
      <c r="E78" s="9">
        <f t="shared" si="1"/>
        <v>46181</v>
      </c>
      <c r="F78" s="8"/>
      <c r="G78" s="8"/>
      <c r="H78" s="24"/>
      <c r="I78" s="7"/>
      <c r="J78" s="10"/>
    </row>
    <row r="79" spans="4:10" x14ac:dyDescent="0.3">
      <c r="D79" s="3">
        <v>8</v>
      </c>
      <c r="E79" s="9">
        <f t="shared" si="1"/>
        <v>46181</v>
      </c>
      <c r="F79" s="8"/>
      <c r="G79" s="8"/>
      <c r="H79" s="24"/>
      <c r="I79" s="7"/>
      <c r="J79" s="10"/>
    </row>
    <row r="80" spans="4:10" x14ac:dyDescent="0.3">
      <c r="D80" s="3">
        <v>8</v>
      </c>
      <c r="E80" s="9">
        <f t="shared" si="1"/>
        <v>46181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46181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46181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46182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46182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46182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46182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46182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46182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46182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46182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46182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46182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46183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46183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46183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46183</v>
      </c>
      <c r="F96" s="8"/>
      <c r="G96" s="8"/>
      <c r="H96" s="24"/>
      <c r="I96" s="7"/>
      <c r="J96" s="10"/>
    </row>
    <row r="97" spans="4:10" x14ac:dyDescent="0.3">
      <c r="D97" s="3">
        <v>10</v>
      </c>
      <c r="E97" s="9">
        <f t="shared" si="1"/>
        <v>46183</v>
      </c>
      <c r="F97" s="8"/>
      <c r="G97" s="8"/>
      <c r="H97" s="24"/>
      <c r="I97" s="7"/>
      <c r="J97" s="10"/>
    </row>
    <row r="98" spans="4:10" x14ac:dyDescent="0.3">
      <c r="D98" s="3">
        <v>10</v>
      </c>
      <c r="E98" s="9">
        <f t="shared" si="1"/>
        <v>46183</v>
      </c>
      <c r="F98" s="8"/>
      <c r="G98" s="8"/>
      <c r="H98" s="24"/>
      <c r="I98" s="7"/>
      <c r="J98" s="10"/>
    </row>
    <row r="99" spans="4:10" x14ac:dyDescent="0.3">
      <c r="D99" s="3">
        <v>10</v>
      </c>
      <c r="E99" s="9">
        <f t="shared" si="1"/>
        <v>46183</v>
      </c>
      <c r="F99" s="8"/>
      <c r="G99" s="8"/>
      <c r="H99" s="24"/>
      <c r="I99" s="7"/>
      <c r="J99" s="10"/>
    </row>
    <row r="100" spans="4:10" x14ac:dyDescent="0.3">
      <c r="D100" s="3">
        <v>10</v>
      </c>
      <c r="E100" s="9">
        <f t="shared" si="1"/>
        <v>46183</v>
      </c>
      <c r="F100" s="8"/>
      <c r="G100" s="8"/>
      <c r="H100" s="24"/>
      <c r="I100" s="7"/>
      <c r="J100" s="10"/>
    </row>
    <row r="101" spans="4:10" x14ac:dyDescent="0.3">
      <c r="D101" s="3">
        <v>10</v>
      </c>
      <c r="E101" s="9">
        <f t="shared" si="1"/>
        <v>46183</v>
      </c>
      <c r="F101" s="8"/>
      <c r="G101" s="8"/>
      <c r="H101" s="24"/>
      <c r="I101" s="7"/>
      <c r="J101" s="10"/>
    </row>
    <row r="102" spans="4:10" x14ac:dyDescent="0.3">
      <c r="D102" s="3">
        <v>10</v>
      </c>
      <c r="E102" s="19">
        <f t="shared" si="1"/>
        <v>46183</v>
      </c>
      <c r="F102" s="20"/>
      <c r="G102" s="20"/>
      <c r="H102" s="25"/>
      <c r="I102" s="21"/>
      <c r="J102" s="22"/>
    </row>
    <row r="103" spans="4:10" x14ac:dyDescent="0.3">
      <c r="D103" s="3">
        <v>11</v>
      </c>
      <c r="E103" s="15">
        <f t="shared" si="1"/>
        <v>46184</v>
      </c>
      <c r="F103" s="16"/>
      <c r="G103" s="16"/>
      <c r="H103" s="23"/>
      <c r="I103" s="17"/>
      <c r="J103" s="18"/>
    </row>
    <row r="104" spans="4:10" x14ac:dyDescent="0.3">
      <c r="D104" s="3">
        <v>11</v>
      </c>
      <c r="E104" s="9">
        <f t="shared" si="1"/>
        <v>46184</v>
      </c>
      <c r="F104" s="8"/>
      <c r="G104" s="8"/>
      <c r="H104" s="24"/>
      <c r="I104" s="7"/>
      <c r="J104" s="10"/>
    </row>
    <row r="105" spans="4:10" x14ac:dyDescent="0.3">
      <c r="D105" s="3">
        <v>11</v>
      </c>
      <c r="E105" s="9">
        <f t="shared" si="1"/>
        <v>46184</v>
      </c>
      <c r="F105" s="8"/>
      <c r="G105" s="8"/>
      <c r="H105" s="24"/>
      <c r="I105" s="7"/>
      <c r="J105" s="10"/>
    </row>
    <row r="106" spans="4:10" x14ac:dyDescent="0.3">
      <c r="D106" s="3">
        <v>11</v>
      </c>
      <c r="E106" s="9">
        <f t="shared" si="1"/>
        <v>46184</v>
      </c>
      <c r="F106" s="8"/>
      <c r="G106" s="8"/>
      <c r="H106" s="24"/>
      <c r="I106" s="7"/>
      <c r="J106" s="10"/>
    </row>
    <row r="107" spans="4:10" x14ac:dyDescent="0.3">
      <c r="D107" s="3">
        <v>11</v>
      </c>
      <c r="E107" s="9">
        <f t="shared" si="1"/>
        <v>46184</v>
      </c>
      <c r="F107" s="8"/>
      <c r="G107" s="8"/>
      <c r="H107" s="24"/>
      <c r="I107" s="7"/>
      <c r="J107" s="10"/>
    </row>
    <row r="108" spans="4:10" x14ac:dyDescent="0.3">
      <c r="D108" s="3">
        <v>11</v>
      </c>
      <c r="E108" s="9">
        <f t="shared" si="1"/>
        <v>46184</v>
      </c>
      <c r="F108" s="8"/>
      <c r="G108" s="8"/>
      <c r="H108" s="24"/>
      <c r="I108" s="7"/>
      <c r="J108" s="10"/>
    </row>
    <row r="109" spans="4:10" x14ac:dyDescent="0.3">
      <c r="D109" s="3">
        <v>11</v>
      </c>
      <c r="E109" s="9">
        <f t="shared" si="1"/>
        <v>46184</v>
      </c>
      <c r="F109" s="8"/>
      <c r="G109" s="8"/>
      <c r="H109" s="24"/>
      <c r="I109" s="7"/>
      <c r="J109" s="10"/>
    </row>
    <row r="110" spans="4:10" x14ac:dyDescent="0.3">
      <c r="D110" s="3">
        <v>11</v>
      </c>
      <c r="E110" s="9">
        <f t="shared" si="1"/>
        <v>46184</v>
      </c>
      <c r="F110" s="8"/>
      <c r="G110" s="8"/>
      <c r="H110" s="24"/>
      <c r="I110" s="7"/>
      <c r="J110" s="10"/>
    </row>
    <row r="111" spans="4:10" x14ac:dyDescent="0.3">
      <c r="D111" s="3">
        <v>11</v>
      </c>
      <c r="E111" s="9">
        <f t="shared" si="1"/>
        <v>46184</v>
      </c>
      <c r="F111" s="8"/>
      <c r="G111" s="8"/>
      <c r="H111" s="24"/>
      <c r="I111" s="7"/>
      <c r="J111" s="10"/>
    </row>
    <row r="112" spans="4:10" x14ac:dyDescent="0.3">
      <c r="D112" s="3">
        <v>11</v>
      </c>
      <c r="E112" s="19">
        <f t="shared" si="1"/>
        <v>46184</v>
      </c>
      <c r="F112" s="20"/>
      <c r="G112" s="20"/>
      <c r="H112" s="25"/>
      <c r="I112" s="21"/>
      <c r="J112" s="22"/>
    </row>
    <row r="113" spans="4:10" x14ac:dyDescent="0.3">
      <c r="D113" s="3">
        <v>12</v>
      </c>
      <c r="E113" s="15">
        <f t="shared" si="1"/>
        <v>46185</v>
      </c>
      <c r="F113" s="16"/>
      <c r="G113" s="16"/>
      <c r="H113" s="23"/>
      <c r="I113" s="17"/>
      <c r="J113" s="18"/>
    </row>
    <row r="114" spans="4:10" x14ac:dyDescent="0.3">
      <c r="D114" s="3">
        <v>12</v>
      </c>
      <c r="E114" s="9">
        <f t="shared" si="1"/>
        <v>46185</v>
      </c>
      <c r="F114" s="8"/>
      <c r="G114" s="8"/>
      <c r="H114" s="24"/>
      <c r="I114" s="7"/>
      <c r="J114" s="10"/>
    </row>
    <row r="115" spans="4:10" x14ac:dyDescent="0.3">
      <c r="D115" s="3">
        <v>12</v>
      </c>
      <c r="E115" s="9">
        <f t="shared" si="1"/>
        <v>46185</v>
      </c>
      <c r="F115" s="8"/>
      <c r="G115" s="8"/>
      <c r="H115" s="24"/>
      <c r="I115" s="7"/>
      <c r="J115" s="10"/>
    </row>
    <row r="116" spans="4:10" x14ac:dyDescent="0.3">
      <c r="D116" s="3">
        <v>12</v>
      </c>
      <c r="E116" s="9">
        <f t="shared" si="1"/>
        <v>46185</v>
      </c>
      <c r="F116" s="8"/>
      <c r="G116" s="8"/>
      <c r="H116" s="24"/>
      <c r="I116" s="7"/>
      <c r="J116" s="10"/>
    </row>
    <row r="117" spans="4:10" x14ac:dyDescent="0.3">
      <c r="D117" s="3">
        <v>12</v>
      </c>
      <c r="E117" s="9">
        <f t="shared" si="1"/>
        <v>46185</v>
      </c>
      <c r="F117" s="8"/>
      <c r="G117" s="8"/>
      <c r="H117" s="24"/>
      <c r="I117" s="7"/>
      <c r="J117" s="10"/>
    </row>
    <row r="118" spans="4:10" x14ac:dyDescent="0.3">
      <c r="D118" s="3">
        <v>12</v>
      </c>
      <c r="E118" s="9">
        <f t="shared" si="1"/>
        <v>46185</v>
      </c>
      <c r="F118" s="8"/>
      <c r="G118" s="8"/>
      <c r="H118" s="24"/>
      <c r="I118" s="7"/>
      <c r="J118" s="10"/>
    </row>
    <row r="119" spans="4:10" x14ac:dyDescent="0.3">
      <c r="D119" s="3">
        <v>12</v>
      </c>
      <c r="E119" s="9">
        <f t="shared" si="1"/>
        <v>46185</v>
      </c>
      <c r="F119" s="8"/>
      <c r="G119" s="8"/>
      <c r="H119" s="24"/>
      <c r="I119" s="7"/>
      <c r="J119" s="10"/>
    </row>
    <row r="120" spans="4:10" x14ac:dyDescent="0.3">
      <c r="D120" s="3">
        <v>12</v>
      </c>
      <c r="E120" s="9">
        <f t="shared" si="1"/>
        <v>46185</v>
      </c>
      <c r="F120" s="8"/>
      <c r="G120" s="8"/>
      <c r="H120" s="24"/>
      <c r="I120" s="7"/>
      <c r="J120" s="10"/>
    </row>
    <row r="121" spans="4:10" x14ac:dyDescent="0.3">
      <c r="D121" s="3">
        <v>12</v>
      </c>
      <c r="E121" s="9">
        <f t="shared" si="1"/>
        <v>46185</v>
      </c>
      <c r="F121" s="8"/>
      <c r="G121" s="8"/>
      <c r="H121" s="24"/>
      <c r="I121" s="7"/>
      <c r="J121" s="10"/>
    </row>
    <row r="122" spans="4:10" x14ac:dyDescent="0.3">
      <c r="D122" s="3">
        <v>12</v>
      </c>
      <c r="E122" s="19">
        <f t="shared" si="1"/>
        <v>46185</v>
      </c>
      <c r="F122" s="20"/>
      <c r="G122" s="20"/>
      <c r="H122" s="25"/>
      <c r="I122" s="21"/>
      <c r="J122" s="22"/>
    </row>
    <row r="123" spans="4:10" x14ac:dyDescent="0.3">
      <c r="D123" s="3">
        <v>13</v>
      </c>
      <c r="E123" s="15">
        <f t="shared" si="1"/>
        <v>46186</v>
      </c>
      <c r="F123" s="16"/>
      <c r="G123" s="16"/>
      <c r="H123" s="23"/>
      <c r="I123" s="17"/>
      <c r="J123" s="18"/>
    </row>
    <row r="124" spans="4:10" x14ac:dyDescent="0.3">
      <c r="D124" s="3">
        <v>13</v>
      </c>
      <c r="E124" s="9">
        <f t="shared" si="1"/>
        <v>46186</v>
      </c>
      <c r="F124" s="8"/>
      <c r="G124" s="8"/>
      <c r="H124" s="24"/>
      <c r="I124" s="7"/>
      <c r="J124" s="10"/>
    </row>
    <row r="125" spans="4:10" x14ac:dyDescent="0.3">
      <c r="D125" s="3">
        <v>13</v>
      </c>
      <c r="E125" s="9">
        <f t="shared" si="1"/>
        <v>46186</v>
      </c>
      <c r="F125" s="8"/>
      <c r="G125" s="8"/>
      <c r="H125" s="24"/>
      <c r="I125" s="7"/>
      <c r="J125" s="10"/>
    </row>
    <row r="126" spans="4:10" x14ac:dyDescent="0.3">
      <c r="D126" s="3">
        <v>13</v>
      </c>
      <c r="E126" s="9">
        <f t="shared" si="1"/>
        <v>46186</v>
      </c>
      <c r="F126" s="8"/>
      <c r="G126" s="8"/>
      <c r="H126" s="24"/>
      <c r="I126" s="7"/>
      <c r="J126" s="10"/>
    </row>
    <row r="127" spans="4:10" x14ac:dyDescent="0.3">
      <c r="D127" s="3">
        <v>13</v>
      </c>
      <c r="E127" s="9">
        <f t="shared" si="1"/>
        <v>46186</v>
      </c>
      <c r="F127" s="8"/>
      <c r="G127" s="8"/>
      <c r="H127" s="24"/>
      <c r="I127" s="7"/>
      <c r="J127" s="10"/>
    </row>
    <row r="128" spans="4:10" x14ac:dyDescent="0.3">
      <c r="D128" s="3">
        <v>13</v>
      </c>
      <c r="E128" s="9">
        <f t="shared" si="1"/>
        <v>46186</v>
      </c>
      <c r="F128" s="8"/>
      <c r="G128" s="8"/>
      <c r="H128" s="24"/>
      <c r="I128" s="7"/>
      <c r="J128" s="10"/>
    </row>
    <row r="129" spans="4:10" x14ac:dyDescent="0.3">
      <c r="D129" s="3">
        <v>13</v>
      </c>
      <c r="E129" s="9">
        <f t="shared" si="1"/>
        <v>46186</v>
      </c>
      <c r="F129" s="8"/>
      <c r="G129" s="8"/>
      <c r="H129" s="24"/>
      <c r="I129" s="7"/>
      <c r="J129" s="10"/>
    </row>
    <row r="130" spans="4:10" x14ac:dyDescent="0.3">
      <c r="D130" s="3">
        <v>13</v>
      </c>
      <c r="E130" s="9">
        <f t="shared" si="1"/>
        <v>46186</v>
      </c>
      <c r="F130" s="8"/>
      <c r="G130" s="8"/>
      <c r="H130" s="24"/>
      <c r="I130" s="7"/>
      <c r="J130" s="10"/>
    </row>
    <row r="131" spans="4:10" x14ac:dyDescent="0.3">
      <c r="D131" s="3">
        <v>13</v>
      </c>
      <c r="E131" s="9">
        <f t="shared" si="1"/>
        <v>46186</v>
      </c>
      <c r="F131" s="8"/>
      <c r="G131" s="8"/>
      <c r="H131" s="24"/>
      <c r="I131" s="7"/>
      <c r="J131" s="10"/>
    </row>
    <row r="132" spans="4:10" x14ac:dyDescent="0.3">
      <c r="D132" s="3">
        <v>13</v>
      </c>
      <c r="E132" s="19">
        <f t="shared" ref="E132:E195" si="2">DATE($B$1,$B$2,$D132)</f>
        <v>46186</v>
      </c>
      <c r="F132" s="20"/>
      <c r="G132" s="20"/>
      <c r="H132" s="25"/>
      <c r="I132" s="21"/>
      <c r="J132" s="22"/>
    </row>
    <row r="133" spans="4:10" x14ac:dyDescent="0.3">
      <c r="D133" s="3">
        <v>14</v>
      </c>
      <c r="E133" s="15">
        <f t="shared" si="2"/>
        <v>46187</v>
      </c>
      <c r="F133" s="16"/>
      <c r="G133" s="16"/>
      <c r="H133" s="23"/>
      <c r="I133" s="17"/>
      <c r="J133" s="18"/>
    </row>
    <row r="134" spans="4:10" x14ac:dyDescent="0.3">
      <c r="D134" s="3">
        <v>14</v>
      </c>
      <c r="E134" s="9">
        <f t="shared" si="2"/>
        <v>46187</v>
      </c>
      <c r="F134" s="8"/>
      <c r="G134" s="8"/>
      <c r="H134" s="24"/>
      <c r="I134" s="7"/>
      <c r="J134" s="10"/>
    </row>
    <row r="135" spans="4:10" x14ac:dyDescent="0.3">
      <c r="D135" s="3">
        <v>14</v>
      </c>
      <c r="E135" s="9">
        <f t="shared" si="2"/>
        <v>46187</v>
      </c>
      <c r="F135" s="8"/>
      <c r="G135" s="8"/>
      <c r="H135" s="24"/>
      <c r="I135" s="7"/>
      <c r="J135" s="10"/>
    </row>
    <row r="136" spans="4:10" x14ac:dyDescent="0.3">
      <c r="D136" s="3">
        <v>14</v>
      </c>
      <c r="E136" s="9">
        <f t="shared" si="2"/>
        <v>46187</v>
      </c>
      <c r="F136" s="8"/>
      <c r="G136" s="8"/>
      <c r="H136" s="24"/>
      <c r="I136" s="7"/>
      <c r="J136" s="10"/>
    </row>
    <row r="137" spans="4:10" x14ac:dyDescent="0.3">
      <c r="D137" s="3">
        <v>14</v>
      </c>
      <c r="E137" s="9">
        <f t="shared" si="2"/>
        <v>46187</v>
      </c>
      <c r="F137" s="8"/>
      <c r="G137" s="8"/>
      <c r="H137" s="24"/>
      <c r="I137" s="7"/>
      <c r="J137" s="10"/>
    </row>
    <row r="138" spans="4:10" x14ac:dyDescent="0.3">
      <c r="D138" s="3">
        <v>14</v>
      </c>
      <c r="E138" s="9">
        <f t="shared" si="2"/>
        <v>46187</v>
      </c>
      <c r="F138" s="8"/>
      <c r="G138" s="8"/>
      <c r="H138" s="24"/>
      <c r="I138" s="7"/>
      <c r="J138" s="10"/>
    </row>
    <row r="139" spans="4:10" x14ac:dyDescent="0.3">
      <c r="D139" s="3">
        <v>14</v>
      </c>
      <c r="E139" s="9">
        <f t="shared" si="2"/>
        <v>46187</v>
      </c>
      <c r="F139" s="8"/>
      <c r="G139" s="8"/>
      <c r="H139" s="24"/>
      <c r="I139" s="7"/>
      <c r="J139" s="10"/>
    </row>
    <row r="140" spans="4:10" x14ac:dyDescent="0.3">
      <c r="D140" s="3">
        <v>14</v>
      </c>
      <c r="E140" s="9">
        <f t="shared" si="2"/>
        <v>46187</v>
      </c>
      <c r="F140" s="8"/>
      <c r="G140" s="8"/>
      <c r="H140" s="24"/>
      <c r="I140" s="7"/>
      <c r="J140" s="10"/>
    </row>
    <row r="141" spans="4:10" x14ac:dyDescent="0.3">
      <c r="D141" s="3">
        <v>14</v>
      </c>
      <c r="E141" s="9">
        <f t="shared" si="2"/>
        <v>46187</v>
      </c>
      <c r="F141" s="8"/>
      <c r="G141" s="8"/>
      <c r="H141" s="24"/>
      <c r="I141" s="7"/>
      <c r="J141" s="10"/>
    </row>
    <row r="142" spans="4:10" x14ac:dyDescent="0.3">
      <c r="D142" s="3">
        <v>14</v>
      </c>
      <c r="E142" s="19">
        <f t="shared" si="2"/>
        <v>46187</v>
      </c>
      <c r="F142" s="20"/>
      <c r="G142" s="20"/>
      <c r="H142" s="25"/>
      <c r="I142" s="21"/>
      <c r="J142" s="22"/>
    </row>
    <row r="143" spans="4:10" x14ac:dyDescent="0.3">
      <c r="D143" s="3">
        <v>15</v>
      </c>
      <c r="E143" s="15">
        <f t="shared" si="2"/>
        <v>46188</v>
      </c>
      <c r="F143" s="16"/>
      <c r="G143" s="16"/>
      <c r="H143" s="23"/>
      <c r="I143" s="17"/>
      <c r="J143" s="18"/>
    </row>
    <row r="144" spans="4:10" x14ac:dyDescent="0.3">
      <c r="D144" s="3">
        <v>15</v>
      </c>
      <c r="E144" s="9">
        <f t="shared" si="2"/>
        <v>46188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46188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46188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46188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46188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46188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46188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46188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46188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46189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46189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46189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46189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46189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46189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46189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46189</v>
      </c>
      <c r="F160" s="8"/>
      <c r="G160" s="8"/>
      <c r="H160" s="24"/>
      <c r="I160" s="7"/>
      <c r="J160" s="10"/>
    </row>
    <row r="161" spans="4:10" x14ac:dyDescent="0.3">
      <c r="D161" s="3">
        <v>16</v>
      </c>
      <c r="E161" s="9">
        <f t="shared" si="2"/>
        <v>46189</v>
      </c>
      <c r="F161" s="8"/>
      <c r="G161" s="8"/>
      <c r="H161" s="24"/>
      <c r="I161" s="7"/>
      <c r="J161" s="10"/>
    </row>
    <row r="162" spans="4:10" x14ac:dyDescent="0.3">
      <c r="D162" s="3">
        <v>16</v>
      </c>
      <c r="E162" s="19">
        <f t="shared" si="2"/>
        <v>46189</v>
      </c>
      <c r="F162" s="20"/>
      <c r="G162" s="20"/>
      <c r="H162" s="25"/>
      <c r="I162" s="21"/>
      <c r="J162" s="22"/>
    </row>
    <row r="163" spans="4:10" x14ac:dyDescent="0.3">
      <c r="D163" s="3">
        <v>17</v>
      </c>
      <c r="E163" s="15">
        <f t="shared" si="2"/>
        <v>46190</v>
      </c>
      <c r="F163" s="16"/>
      <c r="G163" s="16"/>
      <c r="H163" s="23"/>
      <c r="I163" s="17"/>
      <c r="J163" s="18"/>
    </row>
    <row r="164" spans="4:10" x14ac:dyDescent="0.3">
      <c r="D164" s="3">
        <v>17</v>
      </c>
      <c r="E164" s="9">
        <f t="shared" si="2"/>
        <v>46190</v>
      </c>
      <c r="F164" s="8"/>
      <c r="G164" s="8"/>
      <c r="H164" s="24"/>
      <c r="I164" s="7"/>
      <c r="J164" s="10"/>
    </row>
    <row r="165" spans="4:10" x14ac:dyDescent="0.3">
      <c r="D165" s="3">
        <v>17</v>
      </c>
      <c r="E165" s="9">
        <f t="shared" si="2"/>
        <v>46190</v>
      </c>
      <c r="F165" s="8"/>
      <c r="G165" s="8"/>
      <c r="H165" s="24"/>
      <c r="I165" s="7"/>
      <c r="J165" s="10"/>
    </row>
    <row r="166" spans="4:10" x14ac:dyDescent="0.3">
      <c r="D166" s="3">
        <v>17</v>
      </c>
      <c r="E166" s="9">
        <f t="shared" si="2"/>
        <v>46190</v>
      </c>
      <c r="F166" s="8"/>
      <c r="G166" s="8"/>
      <c r="H166" s="24"/>
      <c r="I166" s="7"/>
      <c r="J166" s="10"/>
    </row>
    <row r="167" spans="4:10" x14ac:dyDescent="0.3">
      <c r="D167" s="3">
        <v>17</v>
      </c>
      <c r="E167" s="9">
        <f t="shared" si="2"/>
        <v>46190</v>
      </c>
      <c r="F167" s="8"/>
      <c r="G167" s="8"/>
      <c r="H167" s="24"/>
      <c r="I167" s="7"/>
      <c r="J167" s="10"/>
    </row>
    <row r="168" spans="4:10" x14ac:dyDescent="0.3">
      <c r="D168" s="3">
        <v>17</v>
      </c>
      <c r="E168" s="9">
        <f t="shared" si="2"/>
        <v>46190</v>
      </c>
      <c r="F168" s="8"/>
      <c r="G168" s="8"/>
      <c r="H168" s="24"/>
      <c r="I168" s="7"/>
      <c r="J168" s="10"/>
    </row>
    <row r="169" spans="4:10" x14ac:dyDescent="0.3">
      <c r="D169" s="3">
        <v>17</v>
      </c>
      <c r="E169" s="9">
        <f t="shared" si="2"/>
        <v>46190</v>
      </c>
      <c r="F169" s="8"/>
      <c r="G169" s="8"/>
      <c r="H169" s="24"/>
      <c r="I169" s="7"/>
      <c r="J169" s="10"/>
    </row>
    <row r="170" spans="4:10" x14ac:dyDescent="0.3">
      <c r="D170" s="3">
        <v>17</v>
      </c>
      <c r="E170" s="9">
        <f t="shared" si="2"/>
        <v>46190</v>
      </c>
      <c r="F170" s="8"/>
      <c r="G170" s="8"/>
      <c r="H170" s="24"/>
      <c r="I170" s="7"/>
      <c r="J170" s="10"/>
    </row>
    <row r="171" spans="4:10" x14ac:dyDescent="0.3">
      <c r="D171" s="3">
        <v>17</v>
      </c>
      <c r="E171" s="9">
        <f t="shared" si="2"/>
        <v>46190</v>
      </c>
      <c r="F171" s="8"/>
      <c r="G171" s="8"/>
      <c r="H171" s="24"/>
      <c r="I171" s="7"/>
      <c r="J171" s="10"/>
    </row>
    <row r="172" spans="4:10" x14ac:dyDescent="0.3">
      <c r="D172" s="3">
        <v>17</v>
      </c>
      <c r="E172" s="19">
        <f t="shared" si="2"/>
        <v>46190</v>
      </c>
      <c r="F172" s="20"/>
      <c r="G172" s="20"/>
      <c r="H172" s="25"/>
      <c r="I172" s="21"/>
      <c r="J172" s="22"/>
    </row>
    <row r="173" spans="4:10" x14ac:dyDescent="0.3">
      <c r="D173" s="3">
        <v>18</v>
      </c>
      <c r="E173" s="15">
        <f t="shared" si="2"/>
        <v>46191</v>
      </c>
      <c r="F173" s="16"/>
      <c r="G173" s="16"/>
      <c r="H173" s="23"/>
      <c r="I173" s="17"/>
      <c r="J173" s="18"/>
    </row>
    <row r="174" spans="4:10" x14ac:dyDescent="0.3">
      <c r="D174" s="3">
        <v>18</v>
      </c>
      <c r="E174" s="9">
        <f t="shared" si="2"/>
        <v>46191</v>
      </c>
      <c r="F174" s="8"/>
      <c r="G174" s="8"/>
      <c r="H174" s="24"/>
      <c r="I174" s="7"/>
      <c r="J174" s="10"/>
    </row>
    <row r="175" spans="4:10" x14ac:dyDescent="0.3">
      <c r="D175" s="3">
        <v>18</v>
      </c>
      <c r="E175" s="9">
        <f t="shared" si="2"/>
        <v>46191</v>
      </c>
      <c r="F175" s="8"/>
      <c r="G175" s="8"/>
      <c r="H175" s="24"/>
      <c r="I175" s="7"/>
      <c r="J175" s="10"/>
    </row>
    <row r="176" spans="4:10" x14ac:dyDescent="0.3">
      <c r="D176" s="3">
        <v>18</v>
      </c>
      <c r="E176" s="9">
        <f t="shared" si="2"/>
        <v>46191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46191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46191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46191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46191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46191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46191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46192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46192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46192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46192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46192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46192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46192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46192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46192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46192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46193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46193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46193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46193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46193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46193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46193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46193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46193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46193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46194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46194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46194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46194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46194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46194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46194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46194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46194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46194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46195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46195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46195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46195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46195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46195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46195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46195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46195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46195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46196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46196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46196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46196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46196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46196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46196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46196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46196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46196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46197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46197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46197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46197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46197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46197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46197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46197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46197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46197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46198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46198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46198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46198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46198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46198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46198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46198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46198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46198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46199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46199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46199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46199</v>
      </c>
      <c r="F256" s="8"/>
      <c r="G256" s="8"/>
      <c r="H256" s="24"/>
      <c r="I256" s="7"/>
      <c r="J256" s="10"/>
    </row>
    <row r="257" spans="4:10" x14ac:dyDescent="0.3">
      <c r="D257" s="3">
        <v>26</v>
      </c>
      <c r="E257" s="9">
        <f t="shared" si="3"/>
        <v>46199</v>
      </c>
      <c r="F257" s="8"/>
      <c r="G257" s="8"/>
      <c r="H257" s="24"/>
      <c r="I257" s="7"/>
      <c r="J257" s="10"/>
    </row>
    <row r="258" spans="4:10" x14ac:dyDescent="0.3">
      <c r="D258" s="3">
        <v>26</v>
      </c>
      <c r="E258" s="9">
        <f t="shared" si="3"/>
        <v>46199</v>
      </c>
      <c r="F258" s="8"/>
      <c r="G258" s="8"/>
      <c r="H258" s="24"/>
      <c r="I258" s="7"/>
      <c r="J258" s="10"/>
    </row>
    <row r="259" spans="4:10" x14ac:dyDescent="0.3">
      <c r="D259" s="3">
        <v>26</v>
      </c>
      <c r="E259" s="9">
        <f t="shared" si="3"/>
        <v>46199</v>
      </c>
      <c r="F259" s="8"/>
      <c r="G259" s="8"/>
      <c r="H259" s="24"/>
      <c r="I259" s="7"/>
      <c r="J259" s="10"/>
    </row>
    <row r="260" spans="4:10" x14ac:dyDescent="0.3">
      <c r="D260" s="3">
        <v>26</v>
      </c>
      <c r="E260" s="9">
        <f t="shared" ref="E260:E302" si="4">DATE($B$1,$B$2,$D260)</f>
        <v>46199</v>
      </c>
      <c r="F260" s="8"/>
      <c r="G260" s="8"/>
      <c r="H260" s="24"/>
      <c r="I260" s="7"/>
      <c r="J260" s="10"/>
    </row>
    <row r="261" spans="4:10" x14ac:dyDescent="0.3">
      <c r="D261" s="3">
        <v>26</v>
      </c>
      <c r="E261" s="9">
        <f t="shared" si="4"/>
        <v>46199</v>
      </c>
      <c r="F261" s="8"/>
      <c r="G261" s="8"/>
      <c r="H261" s="24"/>
      <c r="I261" s="7"/>
      <c r="J261" s="10"/>
    </row>
    <row r="262" spans="4:10" x14ac:dyDescent="0.3">
      <c r="D262" s="3">
        <v>26</v>
      </c>
      <c r="E262" s="19">
        <f t="shared" si="4"/>
        <v>46199</v>
      </c>
      <c r="F262" s="20"/>
      <c r="G262" s="20"/>
      <c r="H262" s="25"/>
      <c r="I262" s="21"/>
      <c r="J262" s="22"/>
    </row>
    <row r="263" spans="4:10" x14ac:dyDescent="0.3">
      <c r="D263" s="3">
        <v>27</v>
      </c>
      <c r="E263" s="15">
        <f t="shared" si="4"/>
        <v>46200</v>
      </c>
      <c r="F263" s="16"/>
      <c r="G263" s="16"/>
      <c r="H263" s="23"/>
      <c r="I263" s="17"/>
      <c r="J263" s="18"/>
    </row>
    <row r="264" spans="4:10" x14ac:dyDescent="0.3">
      <c r="D264" s="3">
        <v>27</v>
      </c>
      <c r="E264" s="9">
        <f t="shared" si="4"/>
        <v>46200</v>
      </c>
      <c r="F264" s="8"/>
      <c r="G264" s="8"/>
      <c r="H264" s="24"/>
      <c r="I264" s="7"/>
      <c r="J264" s="10"/>
    </row>
    <row r="265" spans="4:10" x14ac:dyDescent="0.3">
      <c r="D265" s="3">
        <v>27</v>
      </c>
      <c r="E265" s="9">
        <f t="shared" si="4"/>
        <v>46200</v>
      </c>
      <c r="F265" s="8"/>
      <c r="G265" s="8"/>
      <c r="H265" s="24"/>
      <c r="I265" s="7"/>
      <c r="J265" s="10"/>
    </row>
    <row r="266" spans="4:10" x14ac:dyDescent="0.3">
      <c r="D266" s="3">
        <v>27</v>
      </c>
      <c r="E266" s="9">
        <f t="shared" si="4"/>
        <v>46200</v>
      </c>
      <c r="F266" s="8"/>
      <c r="G266" s="8"/>
      <c r="H266" s="24"/>
      <c r="I266" s="7"/>
      <c r="J266" s="10"/>
    </row>
    <row r="267" spans="4:10" x14ac:dyDescent="0.3">
      <c r="D267" s="3">
        <v>27</v>
      </c>
      <c r="E267" s="9">
        <f t="shared" si="4"/>
        <v>46200</v>
      </c>
      <c r="F267" s="8"/>
      <c r="G267" s="8"/>
      <c r="H267" s="24"/>
      <c r="I267" s="7"/>
      <c r="J267" s="10"/>
    </row>
    <row r="268" spans="4:10" x14ac:dyDescent="0.3">
      <c r="D268" s="3">
        <v>27</v>
      </c>
      <c r="E268" s="9">
        <f t="shared" si="4"/>
        <v>46200</v>
      </c>
      <c r="F268" s="8"/>
      <c r="G268" s="8"/>
      <c r="H268" s="24"/>
      <c r="I268" s="7"/>
      <c r="J268" s="10"/>
    </row>
    <row r="269" spans="4:10" x14ac:dyDescent="0.3">
      <c r="D269" s="3">
        <v>27</v>
      </c>
      <c r="E269" s="9">
        <f t="shared" si="4"/>
        <v>46200</v>
      </c>
      <c r="F269" s="8"/>
      <c r="G269" s="8"/>
      <c r="H269" s="24"/>
      <c r="I269" s="7"/>
      <c r="J269" s="10"/>
    </row>
    <row r="270" spans="4:10" x14ac:dyDescent="0.3">
      <c r="D270" s="3">
        <v>27</v>
      </c>
      <c r="E270" s="9">
        <f t="shared" si="4"/>
        <v>46200</v>
      </c>
      <c r="F270" s="8"/>
      <c r="G270" s="8"/>
      <c r="H270" s="24"/>
      <c r="I270" s="7"/>
      <c r="J270" s="10"/>
    </row>
    <row r="271" spans="4:10" x14ac:dyDescent="0.3">
      <c r="D271" s="3">
        <v>27</v>
      </c>
      <c r="E271" s="9">
        <f t="shared" si="4"/>
        <v>46200</v>
      </c>
      <c r="F271" s="8"/>
      <c r="G271" s="8"/>
      <c r="H271" s="24"/>
      <c r="I271" s="7"/>
      <c r="J271" s="10"/>
    </row>
    <row r="272" spans="4:10" x14ac:dyDescent="0.3">
      <c r="D272" s="3">
        <v>27</v>
      </c>
      <c r="E272" s="19">
        <f t="shared" si="4"/>
        <v>46200</v>
      </c>
      <c r="F272" s="20"/>
      <c r="G272" s="20"/>
      <c r="H272" s="25"/>
      <c r="I272" s="21"/>
      <c r="J272" s="22"/>
    </row>
    <row r="273" spans="4:10" x14ac:dyDescent="0.3">
      <c r="D273" s="3">
        <v>28</v>
      </c>
      <c r="E273" s="15">
        <f t="shared" si="4"/>
        <v>46201</v>
      </c>
      <c r="F273" s="16"/>
      <c r="G273" s="16"/>
      <c r="H273" s="23"/>
      <c r="I273" s="17"/>
      <c r="J273" s="18"/>
    </row>
    <row r="274" spans="4:10" x14ac:dyDescent="0.3">
      <c r="D274" s="3">
        <v>28</v>
      </c>
      <c r="E274" s="9">
        <f t="shared" si="4"/>
        <v>46201</v>
      </c>
      <c r="F274" s="8"/>
      <c r="G274" s="8"/>
      <c r="H274" s="24"/>
      <c r="I274" s="7"/>
      <c r="J274" s="10"/>
    </row>
    <row r="275" spans="4:10" x14ac:dyDescent="0.3">
      <c r="D275" s="3">
        <v>28</v>
      </c>
      <c r="E275" s="9">
        <f t="shared" si="4"/>
        <v>46201</v>
      </c>
      <c r="F275" s="8"/>
      <c r="G275" s="8"/>
      <c r="H275" s="24"/>
      <c r="I275" s="7"/>
      <c r="J275" s="10"/>
    </row>
    <row r="276" spans="4:10" x14ac:dyDescent="0.3">
      <c r="D276" s="3">
        <v>28</v>
      </c>
      <c r="E276" s="9">
        <f t="shared" si="4"/>
        <v>46201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46201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46201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46201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46201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46201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19">
        <f t="shared" si="4"/>
        <v>46201</v>
      </c>
      <c r="F282" s="20"/>
      <c r="G282" s="20"/>
      <c r="H282" s="25"/>
      <c r="I282" s="21"/>
      <c r="J282" s="22"/>
    </row>
    <row r="283" spans="4:10" x14ac:dyDescent="0.3">
      <c r="D283" s="3">
        <v>29</v>
      </c>
      <c r="E283" s="15">
        <f t="shared" si="4"/>
        <v>46202</v>
      </c>
      <c r="F283" s="16"/>
      <c r="G283" s="16"/>
      <c r="H283" s="23"/>
      <c r="I283" s="17"/>
      <c r="J283" s="18"/>
    </row>
    <row r="284" spans="4:10" x14ac:dyDescent="0.3">
      <c r="D284" s="3">
        <v>29</v>
      </c>
      <c r="E284" s="9">
        <f t="shared" si="4"/>
        <v>46202</v>
      </c>
      <c r="F284" s="8"/>
      <c r="G284" s="8"/>
      <c r="H284" s="24"/>
      <c r="I284" s="7"/>
      <c r="J284" s="10"/>
    </row>
    <row r="285" spans="4:10" x14ac:dyDescent="0.3">
      <c r="D285" s="3">
        <v>29</v>
      </c>
      <c r="E285" s="9">
        <f t="shared" si="4"/>
        <v>46202</v>
      </c>
      <c r="F285" s="8"/>
      <c r="G285" s="8"/>
      <c r="H285" s="24"/>
      <c r="I285" s="7"/>
      <c r="J285" s="10"/>
    </row>
    <row r="286" spans="4:10" x14ac:dyDescent="0.3">
      <c r="D286" s="3">
        <v>29</v>
      </c>
      <c r="E286" s="9">
        <f t="shared" si="4"/>
        <v>46202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46202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46202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46202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46202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46202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46202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46203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46203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46203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46203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46203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46203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46203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46203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46203</v>
      </c>
      <c r="F301" s="8"/>
      <c r="G301" s="8"/>
      <c r="H301" s="24"/>
      <c r="I301" s="7"/>
      <c r="J301" s="10"/>
    </row>
    <row r="302" spans="4:10" ht="14.25" thickBot="1" x14ac:dyDescent="0.35">
      <c r="D302" s="3">
        <v>30</v>
      </c>
      <c r="E302" s="11">
        <f t="shared" si="4"/>
        <v>46203</v>
      </c>
      <c r="F302" s="12"/>
      <c r="G302" s="12"/>
      <c r="H302" s="26"/>
      <c r="I302" s="13"/>
      <c r="J302" s="14"/>
    </row>
    <row r="303" spans="4:10" x14ac:dyDescent="0.3">
      <c r="F303" s="6"/>
      <c r="G303" s="6"/>
    </row>
    <row r="304" spans="4:10" x14ac:dyDescent="0.3">
      <c r="F304" s="6"/>
      <c r="G304" s="6"/>
    </row>
    <row r="305" spans="6:7" x14ac:dyDescent="0.3">
      <c r="F305" s="6"/>
      <c r="G305" s="6"/>
    </row>
    <row r="306" spans="6:7" x14ac:dyDescent="0.3">
      <c r="F306" s="6"/>
      <c r="G306" s="6"/>
    </row>
    <row r="307" spans="6:7" x14ac:dyDescent="0.3">
      <c r="F307" s="6"/>
      <c r="G307" s="6"/>
    </row>
    <row r="308" spans="6:7" x14ac:dyDescent="0.3">
      <c r="F308" s="6"/>
      <c r="G308" s="6"/>
    </row>
    <row r="309" spans="6:7" x14ac:dyDescent="0.3">
      <c r="F309" s="6"/>
      <c r="G309" s="6"/>
    </row>
    <row r="310" spans="6:7" x14ac:dyDescent="0.3">
      <c r="F310" s="6"/>
      <c r="G310" s="6"/>
    </row>
    <row r="311" spans="6:7" x14ac:dyDescent="0.3">
      <c r="F311" s="6"/>
      <c r="G311" s="6"/>
    </row>
    <row r="312" spans="6:7" x14ac:dyDescent="0.3">
      <c r="F312" s="6"/>
      <c r="G312" s="6"/>
    </row>
    <row r="313" spans="6:7" x14ac:dyDescent="0.3">
      <c r="F313" s="6"/>
      <c r="G313" s="6"/>
    </row>
    <row r="314" spans="6:7" x14ac:dyDescent="0.3">
      <c r="F314" s="6"/>
      <c r="G314" s="6"/>
    </row>
    <row r="315" spans="6:7" x14ac:dyDescent="0.3">
      <c r="F315" s="6"/>
      <c r="G315" s="6"/>
    </row>
    <row r="316" spans="6:7" x14ac:dyDescent="0.3">
      <c r="F316" s="6"/>
      <c r="G316" s="6"/>
    </row>
    <row r="317" spans="6:7" x14ac:dyDescent="0.3">
      <c r="F317" s="6"/>
      <c r="G317" s="6"/>
    </row>
    <row r="318" spans="6:7" x14ac:dyDescent="0.3">
      <c r="F318" s="6"/>
      <c r="G318" s="6"/>
    </row>
    <row r="319" spans="6:7" x14ac:dyDescent="0.3">
      <c r="F319" s="6"/>
      <c r="G319" s="6"/>
    </row>
    <row r="320" spans="6:7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참조!$G$2:$G$3</xm:f>
          </x14:formula1>
          <xm:sqref>G303:G330</xm:sqref>
        </x14:dataValidation>
        <x14:dataValidation type="list" allowBlank="1" showInputMessage="1" showErrorMessage="1">
          <x14:formula1>
            <xm:f>참조!$F$2:$F$3</xm:f>
          </x14:formula1>
          <xm:sqref>F3:F330</xm:sqref>
        </x14:dataValidation>
        <x14:dataValidation type="list" allowBlank="1" showInputMessage="1" showErrorMessage="1">
          <x14:formula1>
            <xm:f>참조!$G:$G</xm:f>
          </x14:formula1>
          <xm:sqref>G3:G302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0"/>
  <sheetViews>
    <sheetView workbookViewId="0">
      <pane ySplit="2" topLeftCell="A3" activePane="bottomLeft" state="frozen"/>
      <selection activeCell="H252" sqref="H252"/>
      <selection pane="bottomLeft" activeCell="C4" sqref="C4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f>'2026년달력'!A1</f>
        <v>2026</v>
      </c>
    </row>
    <row r="2" spans="1:10" ht="14.25" thickBot="1" x14ac:dyDescent="0.35">
      <c r="A2" s="3" t="s">
        <v>1</v>
      </c>
      <c r="B2" s="3">
        <v>7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46204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46204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46204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46204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46204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46204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46204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46204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46204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46204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46205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46205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46205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46205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46205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46205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46205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46205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46205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46205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46206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46206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46206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46206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46206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46206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46206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46206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46206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46206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46207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46207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46207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46207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46207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46207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46207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46207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46207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46207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46208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46208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46208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46208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46208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46208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46208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46208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46208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46208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46209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46209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46209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46209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46209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46209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46209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46209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46209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46209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46210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46210</v>
      </c>
      <c r="F64" s="8"/>
      <c r="G64" s="8"/>
      <c r="H64" s="24"/>
      <c r="I64" s="7"/>
      <c r="J64" s="10"/>
    </row>
    <row r="65" spans="4:10" x14ac:dyDescent="0.3">
      <c r="D65" s="3">
        <v>7</v>
      </c>
      <c r="E65" s="9">
        <f t="shared" si="0"/>
        <v>46210</v>
      </c>
      <c r="F65" s="8"/>
      <c r="G65" s="8"/>
      <c r="H65" s="24"/>
      <c r="I65" s="7"/>
      <c r="J65" s="10"/>
    </row>
    <row r="66" spans="4:10" x14ac:dyDescent="0.3">
      <c r="D66" s="3">
        <v>7</v>
      </c>
      <c r="E66" s="9">
        <f t="shared" si="0"/>
        <v>46210</v>
      </c>
      <c r="F66" s="8"/>
      <c r="G66" s="8"/>
      <c r="H66" s="24"/>
      <c r="I66" s="7"/>
      <c r="J66" s="10"/>
    </row>
    <row r="67" spans="4:10" x14ac:dyDescent="0.3">
      <c r="D67" s="3">
        <v>7</v>
      </c>
      <c r="E67" s="9">
        <f t="shared" si="0"/>
        <v>46210</v>
      </c>
      <c r="F67" s="8"/>
      <c r="G67" s="8"/>
      <c r="H67" s="24"/>
      <c r="I67" s="7"/>
      <c r="J67" s="10"/>
    </row>
    <row r="68" spans="4:10" x14ac:dyDescent="0.3">
      <c r="D68" s="3">
        <v>7</v>
      </c>
      <c r="E68" s="9">
        <f t="shared" ref="E68:E131" si="1">DATE($B$1,$B$2,$D68)</f>
        <v>46210</v>
      </c>
      <c r="F68" s="8"/>
      <c r="G68" s="8"/>
      <c r="H68" s="24"/>
      <c r="I68" s="7"/>
      <c r="J68" s="10"/>
    </row>
    <row r="69" spans="4:10" x14ac:dyDescent="0.3">
      <c r="D69" s="3">
        <v>7</v>
      </c>
      <c r="E69" s="9">
        <f t="shared" si="1"/>
        <v>46210</v>
      </c>
      <c r="F69" s="8"/>
      <c r="G69" s="8"/>
      <c r="H69" s="24"/>
      <c r="I69" s="7"/>
      <c r="J69" s="10"/>
    </row>
    <row r="70" spans="4:10" x14ac:dyDescent="0.3">
      <c r="D70" s="3">
        <v>7</v>
      </c>
      <c r="E70" s="9">
        <f t="shared" si="1"/>
        <v>46210</v>
      </c>
      <c r="F70" s="8"/>
      <c r="G70" s="8"/>
      <c r="H70" s="24"/>
      <c r="I70" s="7"/>
      <c r="J70" s="10"/>
    </row>
    <row r="71" spans="4:10" x14ac:dyDescent="0.3">
      <c r="D71" s="3">
        <v>7</v>
      </c>
      <c r="E71" s="9">
        <f t="shared" si="1"/>
        <v>46210</v>
      </c>
      <c r="F71" s="8"/>
      <c r="G71" s="8"/>
      <c r="H71" s="24"/>
      <c r="I71" s="7"/>
      <c r="J71" s="10"/>
    </row>
    <row r="72" spans="4:10" x14ac:dyDescent="0.3">
      <c r="D72" s="3">
        <v>7</v>
      </c>
      <c r="E72" s="19">
        <f t="shared" si="1"/>
        <v>46210</v>
      </c>
      <c r="F72" s="20"/>
      <c r="G72" s="20"/>
      <c r="H72" s="25"/>
      <c r="I72" s="21"/>
      <c r="J72" s="22"/>
    </row>
    <row r="73" spans="4:10" x14ac:dyDescent="0.3">
      <c r="D73" s="3">
        <v>8</v>
      </c>
      <c r="E73" s="15">
        <f t="shared" si="1"/>
        <v>46211</v>
      </c>
      <c r="F73" s="16"/>
      <c r="G73" s="16"/>
      <c r="H73" s="23"/>
      <c r="I73" s="17"/>
      <c r="J73" s="18"/>
    </row>
    <row r="74" spans="4:10" x14ac:dyDescent="0.3">
      <c r="D74" s="3">
        <v>8</v>
      </c>
      <c r="E74" s="9">
        <f t="shared" si="1"/>
        <v>46211</v>
      </c>
      <c r="F74" s="8"/>
      <c r="G74" s="8"/>
      <c r="H74" s="24"/>
      <c r="I74" s="7"/>
      <c r="J74" s="10"/>
    </row>
    <row r="75" spans="4:10" x14ac:dyDescent="0.3">
      <c r="D75" s="3">
        <v>8</v>
      </c>
      <c r="E75" s="9">
        <f t="shared" si="1"/>
        <v>46211</v>
      </c>
      <c r="F75" s="8"/>
      <c r="G75" s="8"/>
      <c r="H75" s="24"/>
      <c r="I75" s="7"/>
      <c r="J75" s="10"/>
    </row>
    <row r="76" spans="4:10" x14ac:dyDescent="0.3">
      <c r="D76" s="3">
        <v>8</v>
      </c>
      <c r="E76" s="9">
        <f t="shared" si="1"/>
        <v>46211</v>
      </c>
      <c r="F76" s="8"/>
      <c r="G76" s="8"/>
      <c r="H76" s="24"/>
      <c r="I76" s="7"/>
      <c r="J76" s="10"/>
    </row>
    <row r="77" spans="4:10" x14ac:dyDescent="0.3">
      <c r="D77" s="3">
        <v>8</v>
      </c>
      <c r="E77" s="9">
        <f t="shared" si="1"/>
        <v>46211</v>
      </c>
      <c r="F77" s="8"/>
      <c r="G77" s="8"/>
      <c r="H77" s="24"/>
      <c r="I77" s="7"/>
      <c r="J77" s="10"/>
    </row>
    <row r="78" spans="4:10" x14ac:dyDescent="0.3">
      <c r="D78" s="3">
        <v>8</v>
      </c>
      <c r="E78" s="9">
        <f t="shared" si="1"/>
        <v>46211</v>
      </c>
      <c r="F78" s="8"/>
      <c r="G78" s="8"/>
      <c r="H78" s="24"/>
      <c r="I78" s="7"/>
      <c r="J78" s="10"/>
    </row>
    <row r="79" spans="4:10" x14ac:dyDescent="0.3">
      <c r="D79" s="3">
        <v>8</v>
      </c>
      <c r="E79" s="9">
        <f t="shared" si="1"/>
        <v>46211</v>
      </c>
      <c r="F79" s="8"/>
      <c r="G79" s="8"/>
      <c r="H79" s="24"/>
      <c r="I79" s="7"/>
      <c r="J79" s="10"/>
    </row>
    <row r="80" spans="4:10" x14ac:dyDescent="0.3">
      <c r="D80" s="3">
        <v>8</v>
      </c>
      <c r="E80" s="9">
        <f t="shared" si="1"/>
        <v>46211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46211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46211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46212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46212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46212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46212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46212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46212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46212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46212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46212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46212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46213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46213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46213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46213</v>
      </c>
      <c r="F96" s="8"/>
      <c r="G96" s="8"/>
      <c r="H96" s="24"/>
      <c r="I96" s="7"/>
      <c r="J96" s="10"/>
    </row>
    <row r="97" spans="4:10" x14ac:dyDescent="0.3">
      <c r="D97" s="3">
        <v>10</v>
      </c>
      <c r="E97" s="9">
        <f t="shared" si="1"/>
        <v>46213</v>
      </c>
      <c r="F97" s="8"/>
      <c r="G97" s="8"/>
      <c r="H97" s="24"/>
      <c r="I97" s="7"/>
      <c r="J97" s="10"/>
    </row>
    <row r="98" spans="4:10" x14ac:dyDescent="0.3">
      <c r="D98" s="3">
        <v>10</v>
      </c>
      <c r="E98" s="9">
        <f t="shared" si="1"/>
        <v>46213</v>
      </c>
      <c r="F98" s="8"/>
      <c r="G98" s="8"/>
      <c r="H98" s="24"/>
      <c r="I98" s="7"/>
      <c r="J98" s="10"/>
    </row>
    <row r="99" spans="4:10" x14ac:dyDescent="0.3">
      <c r="D99" s="3">
        <v>10</v>
      </c>
      <c r="E99" s="9">
        <f t="shared" si="1"/>
        <v>46213</v>
      </c>
      <c r="F99" s="8"/>
      <c r="G99" s="8"/>
      <c r="H99" s="24"/>
      <c r="I99" s="7"/>
      <c r="J99" s="10"/>
    </row>
    <row r="100" spans="4:10" x14ac:dyDescent="0.3">
      <c r="D100" s="3">
        <v>10</v>
      </c>
      <c r="E100" s="9">
        <f t="shared" si="1"/>
        <v>46213</v>
      </c>
      <c r="F100" s="8"/>
      <c r="G100" s="8"/>
      <c r="H100" s="24"/>
      <c r="I100" s="7"/>
      <c r="J100" s="10"/>
    </row>
    <row r="101" spans="4:10" x14ac:dyDescent="0.3">
      <c r="D101" s="3">
        <v>10</v>
      </c>
      <c r="E101" s="9">
        <f t="shared" si="1"/>
        <v>46213</v>
      </c>
      <c r="F101" s="8"/>
      <c r="G101" s="8"/>
      <c r="H101" s="24"/>
      <c r="I101" s="7"/>
      <c r="J101" s="10"/>
    </row>
    <row r="102" spans="4:10" x14ac:dyDescent="0.3">
      <c r="D102" s="3">
        <v>10</v>
      </c>
      <c r="E102" s="19">
        <f t="shared" si="1"/>
        <v>46213</v>
      </c>
      <c r="F102" s="20"/>
      <c r="G102" s="20"/>
      <c r="H102" s="25"/>
      <c r="I102" s="21"/>
      <c r="J102" s="22"/>
    </row>
    <row r="103" spans="4:10" x14ac:dyDescent="0.3">
      <c r="D103" s="3">
        <v>11</v>
      </c>
      <c r="E103" s="15">
        <f t="shared" si="1"/>
        <v>46214</v>
      </c>
      <c r="F103" s="16"/>
      <c r="G103" s="16"/>
      <c r="H103" s="23"/>
      <c r="I103" s="17"/>
      <c r="J103" s="18"/>
    </row>
    <row r="104" spans="4:10" x14ac:dyDescent="0.3">
      <c r="D104" s="3">
        <v>11</v>
      </c>
      <c r="E104" s="9">
        <f t="shared" si="1"/>
        <v>46214</v>
      </c>
      <c r="F104" s="8"/>
      <c r="G104" s="8"/>
      <c r="H104" s="24"/>
      <c r="I104" s="7"/>
      <c r="J104" s="10"/>
    </row>
    <row r="105" spans="4:10" x14ac:dyDescent="0.3">
      <c r="D105" s="3">
        <v>11</v>
      </c>
      <c r="E105" s="9">
        <f t="shared" si="1"/>
        <v>46214</v>
      </c>
      <c r="F105" s="8"/>
      <c r="G105" s="8"/>
      <c r="H105" s="24"/>
      <c r="I105" s="7"/>
      <c r="J105" s="10"/>
    </row>
    <row r="106" spans="4:10" x14ac:dyDescent="0.3">
      <c r="D106" s="3">
        <v>11</v>
      </c>
      <c r="E106" s="9">
        <f t="shared" si="1"/>
        <v>46214</v>
      </c>
      <c r="F106" s="8"/>
      <c r="G106" s="8"/>
      <c r="H106" s="24"/>
      <c r="I106" s="7"/>
      <c r="J106" s="10"/>
    </row>
    <row r="107" spans="4:10" x14ac:dyDescent="0.3">
      <c r="D107" s="3">
        <v>11</v>
      </c>
      <c r="E107" s="9">
        <f t="shared" si="1"/>
        <v>46214</v>
      </c>
      <c r="F107" s="8"/>
      <c r="G107" s="8"/>
      <c r="H107" s="24"/>
      <c r="I107" s="7"/>
      <c r="J107" s="10"/>
    </row>
    <row r="108" spans="4:10" x14ac:dyDescent="0.3">
      <c r="D108" s="3">
        <v>11</v>
      </c>
      <c r="E108" s="9">
        <f t="shared" si="1"/>
        <v>46214</v>
      </c>
      <c r="F108" s="8"/>
      <c r="G108" s="8"/>
      <c r="H108" s="24"/>
      <c r="I108" s="7"/>
      <c r="J108" s="10"/>
    </row>
    <row r="109" spans="4:10" x14ac:dyDescent="0.3">
      <c r="D109" s="3">
        <v>11</v>
      </c>
      <c r="E109" s="9">
        <f t="shared" si="1"/>
        <v>46214</v>
      </c>
      <c r="F109" s="8"/>
      <c r="G109" s="8"/>
      <c r="H109" s="24"/>
      <c r="I109" s="7"/>
      <c r="J109" s="10"/>
    </row>
    <row r="110" spans="4:10" x14ac:dyDescent="0.3">
      <c r="D110" s="3">
        <v>11</v>
      </c>
      <c r="E110" s="9">
        <f t="shared" si="1"/>
        <v>46214</v>
      </c>
      <c r="F110" s="8"/>
      <c r="G110" s="8"/>
      <c r="H110" s="24"/>
      <c r="I110" s="7"/>
      <c r="J110" s="10"/>
    </row>
    <row r="111" spans="4:10" x14ac:dyDescent="0.3">
      <c r="D111" s="3">
        <v>11</v>
      </c>
      <c r="E111" s="9">
        <f t="shared" si="1"/>
        <v>46214</v>
      </c>
      <c r="F111" s="8"/>
      <c r="G111" s="8"/>
      <c r="H111" s="24"/>
      <c r="I111" s="7"/>
      <c r="J111" s="10"/>
    </row>
    <row r="112" spans="4:10" x14ac:dyDescent="0.3">
      <c r="D112" s="3">
        <v>11</v>
      </c>
      <c r="E112" s="19">
        <f t="shared" si="1"/>
        <v>46214</v>
      </c>
      <c r="F112" s="20"/>
      <c r="G112" s="20"/>
      <c r="H112" s="25"/>
      <c r="I112" s="21"/>
      <c r="J112" s="22"/>
    </row>
    <row r="113" spans="4:10" x14ac:dyDescent="0.3">
      <c r="D113" s="3">
        <v>12</v>
      </c>
      <c r="E113" s="15">
        <f t="shared" si="1"/>
        <v>46215</v>
      </c>
      <c r="F113" s="16"/>
      <c r="G113" s="16"/>
      <c r="H113" s="23"/>
      <c r="I113" s="17"/>
      <c r="J113" s="18"/>
    </row>
    <row r="114" spans="4:10" x14ac:dyDescent="0.3">
      <c r="D114" s="3">
        <v>12</v>
      </c>
      <c r="E114" s="9">
        <f t="shared" si="1"/>
        <v>46215</v>
      </c>
      <c r="F114" s="8"/>
      <c r="G114" s="8"/>
      <c r="H114" s="24"/>
      <c r="I114" s="7"/>
      <c r="J114" s="10"/>
    </row>
    <row r="115" spans="4:10" x14ac:dyDescent="0.3">
      <c r="D115" s="3">
        <v>12</v>
      </c>
      <c r="E115" s="9">
        <f t="shared" si="1"/>
        <v>46215</v>
      </c>
      <c r="F115" s="8"/>
      <c r="G115" s="8"/>
      <c r="H115" s="24"/>
      <c r="I115" s="7"/>
      <c r="J115" s="10"/>
    </row>
    <row r="116" spans="4:10" x14ac:dyDescent="0.3">
      <c r="D116" s="3">
        <v>12</v>
      </c>
      <c r="E116" s="9">
        <f t="shared" si="1"/>
        <v>46215</v>
      </c>
      <c r="F116" s="8"/>
      <c r="G116" s="8"/>
      <c r="H116" s="24"/>
      <c r="I116" s="7"/>
      <c r="J116" s="10"/>
    </row>
    <row r="117" spans="4:10" x14ac:dyDescent="0.3">
      <c r="D117" s="3">
        <v>12</v>
      </c>
      <c r="E117" s="9">
        <f t="shared" si="1"/>
        <v>46215</v>
      </c>
      <c r="F117" s="8"/>
      <c r="G117" s="8"/>
      <c r="H117" s="24"/>
      <c r="I117" s="7"/>
      <c r="J117" s="10"/>
    </row>
    <row r="118" spans="4:10" x14ac:dyDescent="0.3">
      <c r="D118" s="3">
        <v>12</v>
      </c>
      <c r="E118" s="9">
        <f t="shared" si="1"/>
        <v>46215</v>
      </c>
      <c r="F118" s="8"/>
      <c r="G118" s="8"/>
      <c r="H118" s="24"/>
      <c r="I118" s="7"/>
      <c r="J118" s="10"/>
    </row>
    <row r="119" spans="4:10" x14ac:dyDescent="0.3">
      <c r="D119" s="3">
        <v>12</v>
      </c>
      <c r="E119" s="9">
        <f t="shared" si="1"/>
        <v>46215</v>
      </c>
      <c r="F119" s="8"/>
      <c r="G119" s="8"/>
      <c r="H119" s="24"/>
      <c r="I119" s="7"/>
      <c r="J119" s="10"/>
    </row>
    <row r="120" spans="4:10" x14ac:dyDescent="0.3">
      <c r="D120" s="3">
        <v>12</v>
      </c>
      <c r="E120" s="9">
        <f t="shared" si="1"/>
        <v>46215</v>
      </c>
      <c r="F120" s="8"/>
      <c r="G120" s="8"/>
      <c r="H120" s="24"/>
      <c r="I120" s="7"/>
      <c r="J120" s="10"/>
    </row>
    <row r="121" spans="4:10" x14ac:dyDescent="0.3">
      <c r="D121" s="3">
        <v>12</v>
      </c>
      <c r="E121" s="9">
        <f t="shared" si="1"/>
        <v>46215</v>
      </c>
      <c r="F121" s="8"/>
      <c r="G121" s="8"/>
      <c r="H121" s="24"/>
      <c r="I121" s="7"/>
      <c r="J121" s="10"/>
    </row>
    <row r="122" spans="4:10" x14ac:dyDescent="0.3">
      <c r="D122" s="3">
        <v>12</v>
      </c>
      <c r="E122" s="19">
        <f t="shared" si="1"/>
        <v>46215</v>
      </c>
      <c r="F122" s="20"/>
      <c r="G122" s="20"/>
      <c r="H122" s="25"/>
      <c r="I122" s="21"/>
      <c r="J122" s="22"/>
    </row>
    <row r="123" spans="4:10" x14ac:dyDescent="0.3">
      <c r="D123" s="3">
        <v>13</v>
      </c>
      <c r="E123" s="15">
        <f t="shared" si="1"/>
        <v>46216</v>
      </c>
      <c r="F123" s="16"/>
      <c r="G123" s="16"/>
      <c r="H123" s="23"/>
      <c r="I123" s="17"/>
      <c r="J123" s="18"/>
    </row>
    <row r="124" spans="4:10" x14ac:dyDescent="0.3">
      <c r="D124" s="3">
        <v>13</v>
      </c>
      <c r="E124" s="9">
        <f t="shared" si="1"/>
        <v>46216</v>
      </c>
      <c r="F124" s="8"/>
      <c r="G124" s="8"/>
      <c r="H124" s="24"/>
      <c r="I124" s="7"/>
      <c r="J124" s="10"/>
    </row>
    <row r="125" spans="4:10" x14ac:dyDescent="0.3">
      <c r="D125" s="3">
        <v>13</v>
      </c>
      <c r="E125" s="9">
        <f t="shared" si="1"/>
        <v>46216</v>
      </c>
      <c r="F125" s="8"/>
      <c r="G125" s="8"/>
      <c r="H125" s="24"/>
      <c r="I125" s="7"/>
      <c r="J125" s="10"/>
    </row>
    <row r="126" spans="4:10" x14ac:dyDescent="0.3">
      <c r="D126" s="3">
        <v>13</v>
      </c>
      <c r="E126" s="9">
        <f t="shared" si="1"/>
        <v>46216</v>
      </c>
      <c r="F126" s="8"/>
      <c r="G126" s="8"/>
      <c r="H126" s="24"/>
      <c r="I126" s="7"/>
      <c r="J126" s="10"/>
    </row>
    <row r="127" spans="4:10" x14ac:dyDescent="0.3">
      <c r="D127" s="3">
        <v>13</v>
      </c>
      <c r="E127" s="9">
        <f t="shared" si="1"/>
        <v>46216</v>
      </c>
      <c r="F127" s="8"/>
      <c r="G127" s="8"/>
      <c r="H127" s="24"/>
      <c r="I127" s="7"/>
      <c r="J127" s="10"/>
    </row>
    <row r="128" spans="4:10" x14ac:dyDescent="0.3">
      <c r="D128" s="3">
        <v>13</v>
      </c>
      <c r="E128" s="9">
        <f t="shared" si="1"/>
        <v>46216</v>
      </c>
      <c r="F128" s="8"/>
      <c r="G128" s="8"/>
      <c r="H128" s="24"/>
      <c r="I128" s="7"/>
      <c r="J128" s="10"/>
    </row>
    <row r="129" spans="4:10" x14ac:dyDescent="0.3">
      <c r="D129" s="3">
        <v>13</v>
      </c>
      <c r="E129" s="9">
        <f t="shared" si="1"/>
        <v>46216</v>
      </c>
      <c r="F129" s="8"/>
      <c r="G129" s="8"/>
      <c r="H129" s="24"/>
      <c r="I129" s="7"/>
      <c r="J129" s="10"/>
    </row>
    <row r="130" spans="4:10" x14ac:dyDescent="0.3">
      <c r="D130" s="3">
        <v>13</v>
      </c>
      <c r="E130" s="9">
        <f t="shared" si="1"/>
        <v>46216</v>
      </c>
      <c r="F130" s="8"/>
      <c r="G130" s="8"/>
      <c r="H130" s="24"/>
      <c r="I130" s="7"/>
      <c r="J130" s="10"/>
    </row>
    <row r="131" spans="4:10" x14ac:dyDescent="0.3">
      <c r="D131" s="3">
        <v>13</v>
      </c>
      <c r="E131" s="9">
        <f t="shared" si="1"/>
        <v>46216</v>
      </c>
      <c r="F131" s="8"/>
      <c r="G131" s="8"/>
      <c r="H131" s="24"/>
      <c r="I131" s="7"/>
      <c r="J131" s="10"/>
    </row>
    <row r="132" spans="4:10" x14ac:dyDescent="0.3">
      <c r="D132" s="3">
        <v>13</v>
      </c>
      <c r="E132" s="19">
        <f t="shared" ref="E132:E195" si="2">DATE($B$1,$B$2,$D132)</f>
        <v>46216</v>
      </c>
      <c r="F132" s="20"/>
      <c r="G132" s="20"/>
      <c r="H132" s="25"/>
      <c r="I132" s="21"/>
      <c r="J132" s="22"/>
    </row>
    <row r="133" spans="4:10" x14ac:dyDescent="0.3">
      <c r="D133" s="3">
        <v>14</v>
      </c>
      <c r="E133" s="15">
        <f t="shared" si="2"/>
        <v>46217</v>
      </c>
      <c r="F133" s="16"/>
      <c r="G133" s="16"/>
      <c r="H133" s="23"/>
      <c r="I133" s="17"/>
      <c r="J133" s="18"/>
    </row>
    <row r="134" spans="4:10" x14ac:dyDescent="0.3">
      <c r="D134" s="3">
        <v>14</v>
      </c>
      <c r="E134" s="9">
        <f t="shared" si="2"/>
        <v>46217</v>
      </c>
      <c r="F134" s="8"/>
      <c r="G134" s="8"/>
      <c r="H134" s="24"/>
      <c r="I134" s="7"/>
      <c r="J134" s="10"/>
    </row>
    <row r="135" spans="4:10" x14ac:dyDescent="0.3">
      <c r="D135" s="3">
        <v>14</v>
      </c>
      <c r="E135" s="9">
        <f t="shared" si="2"/>
        <v>46217</v>
      </c>
      <c r="F135" s="8"/>
      <c r="G135" s="8"/>
      <c r="H135" s="24"/>
      <c r="I135" s="7"/>
      <c r="J135" s="10"/>
    </row>
    <row r="136" spans="4:10" x14ac:dyDescent="0.3">
      <c r="D136" s="3">
        <v>14</v>
      </c>
      <c r="E136" s="9">
        <f t="shared" si="2"/>
        <v>46217</v>
      </c>
      <c r="F136" s="8"/>
      <c r="G136" s="8"/>
      <c r="H136" s="24"/>
      <c r="I136" s="7"/>
      <c r="J136" s="10"/>
    </row>
    <row r="137" spans="4:10" x14ac:dyDescent="0.3">
      <c r="D137" s="3">
        <v>14</v>
      </c>
      <c r="E137" s="9">
        <f t="shared" si="2"/>
        <v>46217</v>
      </c>
      <c r="F137" s="8"/>
      <c r="G137" s="8"/>
      <c r="H137" s="24"/>
      <c r="I137" s="7"/>
      <c r="J137" s="10"/>
    </row>
    <row r="138" spans="4:10" x14ac:dyDescent="0.3">
      <c r="D138" s="3">
        <v>14</v>
      </c>
      <c r="E138" s="9">
        <f t="shared" si="2"/>
        <v>46217</v>
      </c>
      <c r="F138" s="8"/>
      <c r="G138" s="8"/>
      <c r="H138" s="24"/>
      <c r="I138" s="7"/>
      <c r="J138" s="10"/>
    </row>
    <row r="139" spans="4:10" x14ac:dyDescent="0.3">
      <c r="D139" s="3">
        <v>14</v>
      </c>
      <c r="E139" s="9">
        <f t="shared" si="2"/>
        <v>46217</v>
      </c>
      <c r="F139" s="8"/>
      <c r="G139" s="8"/>
      <c r="H139" s="24"/>
      <c r="I139" s="7"/>
      <c r="J139" s="10"/>
    </row>
    <row r="140" spans="4:10" x14ac:dyDescent="0.3">
      <c r="D140" s="3">
        <v>14</v>
      </c>
      <c r="E140" s="9">
        <f t="shared" si="2"/>
        <v>46217</v>
      </c>
      <c r="F140" s="8"/>
      <c r="G140" s="8"/>
      <c r="H140" s="24"/>
      <c r="I140" s="7"/>
      <c r="J140" s="10"/>
    </row>
    <row r="141" spans="4:10" x14ac:dyDescent="0.3">
      <c r="D141" s="3">
        <v>14</v>
      </c>
      <c r="E141" s="9">
        <f t="shared" si="2"/>
        <v>46217</v>
      </c>
      <c r="F141" s="8"/>
      <c r="G141" s="8"/>
      <c r="H141" s="24"/>
      <c r="I141" s="7"/>
      <c r="J141" s="10"/>
    </row>
    <row r="142" spans="4:10" x14ac:dyDescent="0.3">
      <c r="D142" s="3">
        <v>14</v>
      </c>
      <c r="E142" s="19">
        <f t="shared" si="2"/>
        <v>46217</v>
      </c>
      <c r="F142" s="20"/>
      <c r="G142" s="20"/>
      <c r="H142" s="25"/>
      <c r="I142" s="21"/>
      <c r="J142" s="22"/>
    </row>
    <row r="143" spans="4:10" x14ac:dyDescent="0.3">
      <c r="D143" s="3">
        <v>15</v>
      </c>
      <c r="E143" s="15">
        <f t="shared" si="2"/>
        <v>46218</v>
      </c>
      <c r="F143" s="16"/>
      <c r="G143" s="16"/>
      <c r="H143" s="23"/>
      <c r="I143" s="17"/>
      <c r="J143" s="18"/>
    </row>
    <row r="144" spans="4:10" x14ac:dyDescent="0.3">
      <c r="D144" s="3">
        <v>15</v>
      </c>
      <c r="E144" s="9">
        <f t="shared" si="2"/>
        <v>46218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46218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46218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46218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46218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46218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46218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46218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46218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46219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46219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46219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46219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46219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46219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46219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46219</v>
      </c>
      <c r="F160" s="8"/>
      <c r="G160" s="8"/>
      <c r="H160" s="24"/>
      <c r="I160" s="7"/>
      <c r="J160" s="10"/>
    </row>
    <row r="161" spans="4:10" x14ac:dyDescent="0.3">
      <c r="D161" s="3">
        <v>16</v>
      </c>
      <c r="E161" s="9">
        <f t="shared" si="2"/>
        <v>46219</v>
      </c>
      <c r="F161" s="8"/>
      <c r="G161" s="8"/>
      <c r="H161" s="24"/>
      <c r="I161" s="7"/>
      <c r="J161" s="10"/>
    </row>
    <row r="162" spans="4:10" x14ac:dyDescent="0.3">
      <c r="D162" s="3">
        <v>16</v>
      </c>
      <c r="E162" s="19">
        <f t="shared" si="2"/>
        <v>46219</v>
      </c>
      <c r="F162" s="20"/>
      <c r="G162" s="20"/>
      <c r="H162" s="25"/>
      <c r="I162" s="21"/>
      <c r="J162" s="22"/>
    </row>
    <row r="163" spans="4:10" x14ac:dyDescent="0.3">
      <c r="D163" s="3">
        <v>17</v>
      </c>
      <c r="E163" s="15">
        <f t="shared" si="2"/>
        <v>46220</v>
      </c>
      <c r="F163" s="16"/>
      <c r="G163" s="16"/>
      <c r="H163" s="23"/>
      <c r="I163" s="17"/>
      <c r="J163" s="18"/>
    </row>
    <row r="164" spans="4:10" x14ac:dyDescent="0.3">
      <c r="D164" s="3">
        <v>17</v>
      </c>
      <c r="E164" s="9">
        <f t="shared" si="2"/>
        <v>46220</v>
      </c>
      <c r="F164" s="8"/>
      <c r="G164" s="8"/>
      <c r="H164" s="24"/>
      <c r="I164" s="7"/>
      <c r="J164" s="10"/>
    </row>
    <row r="165" spans="4:10" x14ac:dyDescent="0.3">
      <c r="D165" s="3">
        <v>17</v>
      </c>
      <c r="E165" s="9">
        <f t="shared" si="2"/>
        <v>46220</v>
      </c>
      <c r="F165" s="8"/>
      <c r="G165" s="8"/>
      <c r="H165" s="24"/>
      <c r="I165" s="7"/>
      <c r="J165" s="10"/>
    </row>
    <row r="166" spans="4:10" x14ac:dyDescent="0.3">
      <c r="D166" s="3">
        <v>17</v>
      </c>
      <c r="E166" s="9">
        <f t="shared" si="2"/>
        <v>46220</v>
      </c>
      <c r="F166" s="8"/>
      <c r="G166" s="8"/>
      <c r="H166" s="24"/>
      <c r="I166" s="7"/>
      <c r="J166" s="10"/>
    </row>
    <row r="167" spans="4:10" x14ac:dyDescent="0.3">
      <c r="D167" s="3">
        <v>17</v>
      </c>
      <c r="E167" s="9">
        <f t="shared" si="2"/>
        <v>46220</v>
      </c>
      <c r="F167" s="8"/>
      <c r="G167" s="8"/>
      <c r="H167" s="24"/>
      <c r="I167" s="7"/>
      <c r="J167" s="10"/>
    </row>
    <row r="168" spans="4:10" x14ac:dyDescent="0.3">
      <c r="D168" s="3">
        <v>17</v>
      </c>
      <c r="E168" s="9">
        <f t="shared" si="2"/>
        <v>46220</v>
      </c>
      <c r="F168" s="8"/>
      <c r="G168" s="8"/>
      <c r="H168" s="24"/>
      <c r="I168" s="7"/>
      <c r="J168" s="10"/>
    </row>
    <row r="169" spans="4:10" x14ac:dyDescent="0.3">
      <c r="D169" s="3">
        <v>17</v>
      </c>
      <c r="E169" s="9">
        <f t="shared" si="2"/>
        <v>46220</v>
      </c>
      <c r="F169" s="8"/>
      <c r="G169" s="8"/>
      <c r="H169" s="24"/>
      <c r="I169" s="7"/>
      <c r="J169" s="10"/>
    </row>
    <row r="170" spans="4:10" x14ac:dyDescent="0.3">
      <c r="D170" s="3">
        <v>17</v>
      </c>
      <c r="E170" s="9">
        <f t="shared" si="2"/>
        <v>46220</v>
      </c>
      <c r="F170" s="8"/>
      <c r="G170" s="8"/>
      <c r="H170" s="24"/>
      <c r="I170" s="7"/>
      <c r="J170" s="10"/>
    </row>
    <row r="171" spans="4:10" x14ac:dyDescent="0.3">
      <c r="D171" s="3">
        <v>17</v>
      </c>
      <c r="E171" s="9">
        <f t="shared" si="2"/>
        <v>46220</v>
      </c>
      <c r="F171" s="8"/>
      <c r="G171" s="8"/>
      <c r="H171" s="24"/>
      <c r="I171" s="7"/>
      <c r="J171" s="10"/>
    </row>
    <row r="172" spans="4:10" x14ac:dyDescent="0.3">
      <c r="D172" s="3">
        <v>17</v>
      </c>
      <c r="E172" s="19">
        <f t="shared" si="2"/>
        <v>46220</v>
      </c>
      <c r="F172" s="20"/>
      <c r="G172" s="20"/>
      <c r="H172" s="25"/>
      <c r="I172" s="21"/>
      <c r="J172" s="22"/>
    </row>
    <row r="173" spans="4:10" x14ac:dyDescent="0.3">
      <c r="D173" s="3">
        <v>18</v>
      </c>
      <c r="E173" s="15">
        <f t="shared" si="2"/>
        <v>46221</v>
      </c>
      <c r="F173" s="16"/>
      <c r="G173" s="16"/>
      <c r="H173" s="23"/>
      <c r="I173" s="17"/>
      <c r="J173" s="18"/>
    </row>
    <row r="174" spans="4:10" x14ac:dyDescent="0.3">
      <c r="D174" s="3">
        <v>18</v>
      </c>
      <c r="E174" s="9">
        <f t="shared" si="2"/>
        <v>46221</v>
      </c>
      <c r="F174" s="8"/>
      <c r="G174" s="8"/>
      <c r="H174" s="24"/>
      <c r="I174" s="7"/>
      <c r="J174" s="10"/>
    </row>
    <row r="175" spans="4:10" x14ac:dyDescent="0.3">
      <c r="D175" s="3">
        <v>18</v>
      </c>
      <c r="E175" s="9">
        <f t="shared" si="2"/>
        <v>46221</v>
      </c>
      <c r="F175" s="8"/>
      <c r="G175" s="8"/>
      <c r="H175" s="24"/>
      <c r="I175" s="7"/>
      <c r="J175" s="10"/>
    </row>
    <row r="176" spans="4:10" x14ac:dyDescent="0.3">
      <c r="D176" s="3">
        <v>18</v>
      </c>
      <c r="E176" s="9">
        <f t="shared" si="2"/>
        <v>46221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46221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46221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46221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46221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46221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46221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46222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46222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46222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46222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46222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46222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46222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46222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46222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46222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46223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46223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46223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46223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46223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46223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46223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46223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46223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46223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46224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46224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46224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46224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46224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46224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46224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46224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46224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46224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46225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46225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46225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46225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46225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46225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46225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46225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46225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46225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46226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46226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46226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46226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46226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46226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46226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46226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46226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46226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46227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46227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46227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46227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46227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46227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46227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46227</v>
      </c>
      <c r="F240" s="8"/>
      <c r="G240" s="8"/>
      <c r="H240" s="24"/>
      <c r="I240" s="7"/>
      <c r="J240" s="10"/>
    </row>
    <row r="241" spans="4:15" x14ac:dyDescent="0.3">
      <c r="D241" s="3">
        <v>24</v>
      </c>
      <c r="E241" s="9">
        <f t="shared" si="3"/>
        <v>46227</v>
      </c>
      <c r="F241" s="8"/>
      <c r="G241" s="8"/>
      <c r="H241" s="24"/>
      <c r="I241" s="7"/>
      <c r="J241" s="10"/>
    </row>
    <row r="242" spans="4:15" x14ac:dyDescent="0.3">
      <c r="D242" s="3">
        <v>24</v>
      </c>
      <c r="E242" s="19">
        <f t="shared" si="3"/>
        <v>46227</v>
      </c>
      <c r="F242" s="20"/>
      <c r="G242" s="20"/>
      <c r="H242" s="25"/>
      <c r="I242" s="21"/>
      <c r="J242" s="22"/>
    </row>
    <row r="243" spans="4:15" x14ac:dyDescent="0.3">
      <c r="D243" s="3">
        <v>25</v>
      </c>
      <c r="E243" s="15">
        <f t="shared" si="3"/>
        <v>46228</v>
      </c>
      <c r="F243" s="16"/>
      <c r="G243" s="16"/>
      <c r="H243" s="23"/>
      <c r="I243" s="17"/>
      <c r="J243" s="18"/>
    </row>
    <row r="244" spans="4:15" x14ac:dyDescent="0.3">
      <c r="D244" s="3">
        <v>25</v>
      </c>
      <c r="E244" s="9">
        <f t="shared" si="3"/>
        <v>46228</v>
      </c>
      <c r="F244" s="8"/>
      <c r="G244" s="8"/>
      <c r="H244" s="24"/>
      <c r="I244" s="7"/>
      <c r="J244" s="10"/>
    </row>
    <row r="245" spans="4:15" x14ac:dyDescent="0.3">
      <c r="D245" s="3">
        <v>25</v>
      </c>
      <c r="E245" s="9">
        <f t="shared" si="3"/>
        <v>46228</v>
      </c>
      <c r="F245" s="8"/>
      <c r="G245" s="8"/>
      <c r="H245" s="24"/>
      <c r="I245" s="7"/>
      <c r="J245" s="10"/>
    </row>
    <row r="246" spans="4:15" x14ac:dyDescent="0.3">
      <c r="D246" s="3">
        <v>25</v>
      </c>
      <c r="E246" s="9">
        <f t="shared" si="3"/>
        <v>46228</v>
      </c>
      <c r="F246" s="8"/>
      <c r="G246" s="8"/>
      <c r="H246" s="24"/>
      <c r="I246" s="7"/>
      <c r="J246" s="10"/>
    </row>
    <row r="247" spans="4:15" x14ac:dyDescent="0.3">
      <c r="D247" s="3">
        <v>25</v>
      </c>
      <c r="E247" s="9">
        <f t="shared" si="3"/>
        <v>46228</v>
      </c>
      <c r="F247" s="8"/>
      <c r="G247" s="8"/>
      <c r="H247" s="24"/>
      <c r="I247" s="7"/>
      <c r="J247" s="10"/>
    </row>
    <row r="248" spans="4:15" x14ac:dyDescent="0.3">
      <c r="D248" s="3">
        <v>25</v>
      </c>
      <c r="E248" s="9">
        <f t="shared" si="3"/>
        <v>46228</v>
      </c>
      <c r="F248" s="8"/>
      <c r="G248" s="8"/>
      <c r="H248" s="24"/>
      <c r="I248" s="7"/>
      <c r="J248" s="10"/>
    </row>
    <row r="249" spans="4:15" x14ac:dyDescent="0.3">
      <c r="D249" s="3">
        <v>25</v>
      </c>
      <c r="E249" s="9">
        <f t="shared" si="3"/>
        <v>46228</v>
      </c>
      <c r="F249" s="8"/>
      <c r="G249" s="8"/>
      <c r="H249" s="24"/>
      <c r="I249" s="7"/>
      <c r="J249" s="10"/>
    </row>
    <row r="250" spans="4:15" x14ac:dyDescent="0.3">
      <c r="D250" s="3">
        <v>25</v>
      </c>
      <c r="E250" s="9">
        <f t="shared" si="3"/>
        <v>46228</v>
      </c>
      <c r="F250" s="8"/>
      <c r="G250" s="8"/>
      <c r="H250" s="24"/>
      <c r="I250" s="7"/>
      <c r="J250" s="10"/>
    </row>
    <row r="251" spans="4:15" x14ac:dyDescent="0.3">
      <c r="D251" s="3">
        <v>25</v>
      </c>
      <c r="E251" s="9">
        <f t="shared" si="3"/>
        <v>46228</v>
      </c>
      <c r="F251" s="8"/>
      <c r="G251" s="8"/>
      <c r="H251" s="24"/>
      <c r="I251" s="7"/>
      <c r="J251" s="10"/>
      <c r="M251" s="36"/>
    </row>
    <row r="252" spans="4:15" x14ac:dyDescent="0.3">
      <c r="D252" s="3">
        <v>25</v>
      </c>
      <c r="E252" s="19">
        <f t="shared" si="3"/>
        <v>46228</v>
      </c>
      <c r="F252" s="20"/>
      <c r="G252" s="20"/>
      <c r="H252" s="25"/>
      <c r="I252" s="21"/>
      <c r="J252" s="22"/>
      <c r="M252" s="36"/>
    </row>
    <row r="253" spans="4:15" x14ac:dyDescent="0.3">
      <c r="D253" s="3">
        <v>26</v>
      </c>
      <c r="E253" s="15">
        <f t="shared" si="3"/>
        <v>46229</v>
      </c>
      <c r="F253" s="16"/>
      <c r="G253" s="16"/>
      <c r="H253" s="23"/>
      <c r="I253" s="17"/>
      <c r="J253" s="18"/>
      <c r="M253" s="36"/>
      <c r="O253" s="36"/>
    </row>
    <row r="254" spans="4:15" x14ac:dyDescent="0.3">
      <c r="D254" s="3">
        <v>26</v>
      </c>
      <c r="E254" s="9">
        <f t="shared" si="3"/>
        <v>46229</v>
      </c>
      <c r="F254" s="8"/>
      <c r="G254" s="8"/>
      <c r="H254" s="24"/>
      <c r="I254" s="7"/>
      <c r="J254" s="10"/>
    </row>
    <row r="255" spans="4:15" x14ac:dyDescent="0.3">
      <c r="D255" s="3">
        <v>26</v>
      </c>
      <c r="E255" s="9">
        <f t="shared" si="3"/>
        <v>46229</v>
      </c>
      <c r="F255" s="8"/>
      <c r="G255" s="8"/>
      <c r="H255" s="24"/>
      <c r="I255" s="7"/>
      <c r="J255" s="10"/>
    </row>
    <row r="256" spans="4:15" x14ac:dyDescent="0.3">
      <c r="D256" s="3">
        <v>26</v>
      </c>
      <c r="E256" s="9">
        <f t="shared" si="3"/>
        <v>46229</v>
      </c>
      <c r="F256" s="8"/>
      <c r="G256" s="8"/>
      <c r="H256" s="24"/>
      <c r="I256" s="7"/>
      <c r="J256" s="10"/>
    </row>
    <row r="257" spans="4:12" x14ac:dyDescent="0.3">
      <c r="D257" s="3">
        <v>26</v>
      </c>
      <c r="E257" s="9">
        <f t="shared" si="3"/>
        <v>46229</v>
      </c>
      <c r="F257" s="8"/>
      <c r="G257" s="8"/>
      <c r="H257" s="24"/>
      <c r="I257" s="7"/>
      <c r="J257" s="10"/>
      <c r="L257" s="36"/>
    </row>
    <row r="258" spans="4:12" x14ac:dyDescent="0.3">
      <c r="D258" s="3">
        <v>26</v>
      </c>
      <c r="E258" s="9">
        <f t="shared" si="3"/>
        <v>46229</v>
      </c>
      <c r="F258" s="8"/>
      <c r="G258" s="8"/>
      <c r="H258" s="24"/>
      <c r="I258" s="7"/>
      <c r="J258" s="10"/>
    </row>
    <row r="259" spans="4:12" x14ac:dyDescent="0.3">
      <c r="D259" s="3">
        <v>26</v>
      </c>
      <c r="E259" s="9">
        <f t="shared" si="3"/>
        <v>46229</v>
      </c>
      <c r="F259" s="8"/>
      <c r="G259" s="8"/>
      <c r="H259" s="24"/>
      <c r="I259" s="7"/>
      <c r="J259" s="10"/>
    </row>
    <row r="260" spans="4:12" x14ac:dyDescent="0.3">
      <c r="D260" s="3">
        <v>26</v>
      </c>
      <c r="E260" s="9">
        <f t="shared" ref="E260:E312" si="4">DATE($B$1,$B$2,$D260)</f>
        <v>46229</v>
      </c>
      <c r="F260" s="8"/>
      <c r="G260" s="8"/>
      <c r="H260" s="24"/>
      <c r="I260" s="7"/>
      <c r="J260" s="10"/>
    </row>
    <row r="261" spans="4:12" x14ac:dyDescent="0.3">
      <c r="D261" s="3">
        <v>26</v>
      </c>
      <c r="E261" s="9">
        <f t="shared" si="4"/>
        <v>46229</v>
      </c>
      <c r="F261" s="8"/>
      <c r="G261" s="8"/>
      <c r="H261" s="24"/>
      <c r="I261" s="7"/>
      <c r="J261" s="10"/>
    </row>
    <row r="262" spans="4:12" x14ac:dyDescent="0.3">
      <c r="D262" s="3">
        <v>26</v>
      </c>
      <c r="E262" s="19">
        <f t="shared" si="4"/>
        <v>46229</v>
      </c>
      <c r="F262" s="20"/>
      <c r="G262" s="20"/>
      <c r="H262" s="25"/>
      <c r="I262" s="21"/>
      <c r="J262" s="22"/>
    </row>
    <row r="263" spans="4:12" x14ac:dyDescent="0.3">
      <c r="D263" s="3">
        <v>27</v>
      </c>
      <c r="E263" s="15">
        <f t="shared" si="4"/>
        <v>46230</v>
      </c>
      <c r="F263" s="16"/>
      <c r="G263" s="16"/>
      <c r="H263" s="23"/>
      <c r="I263" s="17"/>
      <c r="J263" s="18"/>
    </row>
    <row r="264" spans="4:12" x14ac:dyDescent="0.3">
      <c r="D264" s="3">
        <v>27</v>
      </c>
      <c r="E264" s="9">
        <f t="shared" si="4"/>
        <v>46230</v>
      </c>
      <c r="F264" s="8"/>
      <c r="G264" s="8"/>
      <c r="H264" s="24"/>
      <c r="I264" s="7"/>
      <c r="J264" s="10"/>
    </row>
    <row r="265" spans="4:12" x14ac:dyDescent="0.3">
      <c r="D265" s="3">
        <v>27</v>
      </c>
      <c r="E265" s="9">
        <f t="shared" si="4"/>
        <v>46230</v>
      </c>
      <c r="F265" s="8"/>
      <c r="G265" s="8"/>
      <c r="H265" s="24"/>
      <c r="I265" s="7"/>
      <c r="J265" s="10"/>
    </row>
    <row r="266" spans="4:12" x14ac:dyDescent="0.3">
      <c r="D266" s="3">
        <v>27</v>
      </c>
      <c r="E266" s="9">
        <f t="shared" si="4"/>
        <v>46230</v>
      </c>
      <c r="F266" s="8"/>
      <c r="G266" s="8"/>
      <c r="H266" s="24"/>
      <c r="I266" s="7"/>
      <c r="J266" s="10"/>
    </row>
    <row r="267" spans="4:12" x14ac:dyDescent="0.3">
      <c r="D267" s="3">
        <v>27</v>
      </c>
      <c r="E267" s="9">
        <f t="shared" si="4"/>
        <v>46230</v>
      </c>
      <c r="F267" s="8"/>
      <c r="G267" s="8"/>
      <c r="H267" s="24"/>
      <c r="I267" s="7"/>
      <c r="J267" s="10"/>
    </row>
    <row r="268" spans="4:12" x14ac:dyDescent="0.3">
      <c r="D268" s="3">
        <v>27</v>
      </c>
      <c r="E268" s="9">
        <f t="shared" si="4"/>
        <v>46230</v>
      </c>
      <c r="F268" s="8"/>
      <c r="G268" s="8"/>
      <c r="H268" s="24"/>
      <c r="I268" s="7"/>
      <c r="J268" s="10"/>
    </row>
    <row r="269" spans="4:12" x14ac:dyDescent="0.3">
      <c r="D269" s="3">
        <v>27</v>
      </c>
      <c r="E269" s="9">
        <f t="shared" si="4"/>
        <v>46230</v>
      </c>
      <c r="F269" s="8"/>
      <c r="G269" s="8"/>
      <c r="H269" s="24"/>
      <c r="I269" s="7"/>
      <c r="J269" s="10"/>
      <c r="L269" s="36"/>
    </row>
    <row r="270" spans="4:12" x14ac:dyDescent="0.3">
      <c r="D270" s="3">
        <v>27</v>
      </c>
      <c r="E270" s="9">
        <f t="shared" si="4"/>
        <v>46230</v>
      </c>
      <c r="F270" s="8"/>
      <c r="G270" s="8"/>
      <c r="H270" s="24"/>
      <c r="I270" s="7"/>
      <c r="J270" s="10"/>
    </row>
    <row r="271" spans="4:12" x14ac:dyDescent="0.3">
      <c r="D271" s="3">
        <v>27</v>
      </c>
      <c r="E271" s="9">
        <f t="shared" si="4"/>
        <v>46230</v>
      </c>
      <c r="F271" s="8"/>
      <c r="G271" s="8"/>
      <c r="H271" s="24"/>
      <c r="I271" s="7"/>
      <c r="J271" s="10"/>
    </row>
    <row r="272" spans="4:12" x14ac:dyDescent="0.3">
      <c r="D272" s="3">
        <v>27</v>
      </c>
      <c r="E272" s="19">
        <f t="shared" si="4"/>
        <v>46230</v>
      </c>
      <c r="F272" s="20"/>
      <c r="G272" s="20"/>
      <c r="H272" s="25"/>
      <c r="I272" s="21"/>
      <c r="J272" s="22"/>
    </row>
    <row r="273" spans="4:10" x14ac:dyDescent="0.3">
      <c r="D273" s="3">
        <v>28</v>
      </c>
      <c r="E273" s="15">
        <f t="shared" si="4"/>
        <v>46231</v>
      </c>
      <c r="F273" s="16"/>
      <c r="G273" s="16"/>
      <c r="H273" s="23"/>
      <c r="I273" s="17"/>
      <c r="J273" s="18"/>
    </row>
    <row r="274" spans="4:10" x14ac:dyDescent="0.3">
      <c r="D274" s="3">
        <v>28</v>
      </c>
      <c r="E274" s="9">
        <f t="shared" si="4"/>
        <v>46231</v>
      </c>
      <c r="F274" s="8"/>
      <c r="G274" s="8"/>
      <c r="H274" s="24"/>
      <c r="I274" s="7"/>
      <c r="J274" s="10"/>
    </row>
    <row r="275" spans="4:10" x14ac:dyDescent="0.3">
      <c r="D275" s="3">
        <v>28</v>
      </c>
      <c r="E275" s="9">
        <f t="shared" si="4"/>
        <v>46231</v>
      </c>
      <c r="F275" s="8"/>
      <c r="G275" s="8"/>
      <c r="H275" s="24"/>
      <c r="I275" s="7"/>
      <c r="J275" s="10"/>
    </row>
    <row r="276" spans="4:10" x14ac:dyDescent="0.3">
      <c r="D276" s="3">
        <v>28</v>
      </c>
      <c r="E276" s="9">
        <f t="shared" si="4"/>
        <v>46231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46231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46231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46231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46231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46231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19">
        <f t="shared" si="4"/>
        <v>46231</v>
      </c>
      <c r="F282" s="20"/>
      <c r="G282" s="20"/>
      <c r="H282" s="25"/>
      <c r="I282" s="21"/>
      <c r="J282" s="22"/>
    </row>
    <row r="283" spans="4:10" x14ac:dyDescent="0.3">
      <c r="D283" s="3">
        <v>29</v>
      </c>
      <c r="E283" s="15">
        <f t="shared" si="4"/>
        <v>46232</v>
      </c>
      <c r="F283" s="16"/>
      <c r="G283" s="16"/>
      <c r="H283" s="23"/>
      <c r="I283" s="17"/>
      <c r="J283" s="18"/>
    </row>
    <row r="284" spans="4:10" x14ac:dyDescent="0.3">
      <c r="D284" s="3">
        <v>29</v>
      </c>
      <c r="E284" s="9">
        <f t="shared" si="4"/>
        <v>46232</v>
      </c>
      <c r="F284" s="8"/>
      <c r="G284" s="8"/>
      <c r="H284" s="24"/>
      <c r="I284" s="7"/>
      <c r="J284" s="10"/>
    </row>
    <row r="285" spans="4:10" x14ac:dyDescent="0.3">
      <c r="D285" s="3">
        <v>29</v>
      </c>
      <c r="E285" s="9">
        <f t="shared" si="4"/>
        <v>46232</v>
      </c>
      <c r="F285" s="8"/>
      <c r="G285" s="8"/>
      <c r="H285" s="24"/>
      <c r="I285" s="7"/>
      <c r="J285" s="10"/>
    </row>
    <row r="286" spans="4:10" x14ac:dyDescent="0.3">
      <c r="D286" s="3">
        <v>29</v>
      </c>
      <c r="E286" s="9">
        <f t="shared" si="4"/>
        <v>46232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46232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46232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46232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46232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46232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46232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46233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46233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46233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46233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46233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46233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46233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46233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46233</v>
      </c>
      <c r="F301" s="8"/>
      <c r="G301" s="8"/>
      <c r="H301" s="24"/>
      <c r="I301" s="7"/>
      <c r="J301" s="10"/>
    </row>
    <row r="302" spans="4:10" x14ac:dyDescent="0.3">
      <c r="D302" s="3">
        <v>30</v>
      </c>
      <c r="E302" s="19">
        <f t="shared" si="4"/>
        <v>46233</v>
      </c>
      <c r="F302" s="20"/>
      <c r="G302" s="20"/>
      <c r="H302" s="25"/>
      <c r="I302" s="21"/>
      <c r="J302" s="22"/>
    </row>
    <row r="303" spans="4:10" x14ac:dyDescent="0.3">
      <c r="D303" s="3">
        <v>31</v>
      </c>
      <c r="E303" s="15">
        <f t="shared" si="4"/>
        <v>46234</v>
      </c>
      <c r="F303" s="16"/>
      <c r="G303" s="16"/>
      <c r="H303" s="23"/>
      <c r="I303" s="17"/>
      <c r="J303" s="18"/>
    </row>
    <row r="304" spans="4:10" x14ac:dyDescent="0.3">
      <c r="D304" s="3">
        <v>31</v>
      </c>
      <c r="E304" s="9">
        <f t="shared" si="4"/>
        <v>46234</v>
      </c>
      <c r="F304" s="8"/>
      <c r="G304" s="8"/>
      <c r="H304" s="24"/>
      <c r="I304" s="7"/>
      <c r="J304" s="10"/>
    </row>
    <row r="305" spans="4:10" x14ac:dyDescent="0.3">
      <c r="D305" s="3">
        <v>31</v>
      </c>
      <c r="E305" s="9">
        <f t="shared" si="4"/>
        <v>46234</v>
      </c>
      <c r="F305" s="8"/>
      <c r="G305" s="8"/>
      <c r="H305" s="24"/>
      <c r="I305" s="7"/>
      <c r="J305" s="10"/>
    </row>
    <row r="306" spans="4:10" x14ac:dyDescent="0.3">
      <c r="D306" s="3">
        <v>31</v>
      </c>
      <c r="E306" s="9">
        <f t="shared" si="4"/>
        <v>46234</v>
      </c>
      <c r="F306" s="8"/>
      <c r="G306" s="8"/>
      <c r="H306" s="24"/>
      <c r="I306" s="7"/>
      <c r="J306" s="10"/>
    </row>
    <row r="307" spans="4:10" x14ac:dyDescent="0.3">
      <c r="D307" s="3">
        <v>31</v>
      </c>
      <c r="E307" s="9">
        <f t="shared" si="4"/>
        <v>46234</v>
      </c>
      <c r="F307" s="8"/>
      <c r="G307" s="8"/>
      <c r="H307" s="24"/>
      <c r="I307" s="7"/>
      <c r="J307" s="10"/>
    </row>
    <row r="308" spans="4:10" x14ac:dyDescent="0.3">
      <c r="D308" s="3">
        <v>31</v>
      </c>
      <c r="E308" s="9">
        <f t="shared" si="4"/>
        <v>46234</v>
      </c>
      <c r="F308" s="8"/>
      <c r="G308" s="8"/>
      <c r="H308" s="24"/>
      <c r="I308" s="7"/>
      <c r="J308" s="10"/>
    </row>
    <row r="309" spans="4:10" x14ac:dyDescent="0.3">
      <c r="D309" s="3">
        <v>31</v>
      </c>
      <c r="E309" s="9">
        <f t="shared" si="4"/>
        <v>46234</v>
      </c>
      <c r="F309" s="8"/>
      <c r="G309" s="8"/>
      <c r="H309" s="24"/>
      <c r="I309" s="7"/>
      <c r="J309" s="10"/>
    </row>
    <row r="310" spans="4:10" x14ac:dyDescent="0.3">
      <c r="D310" s="3">
        <v>31</v>
      </c>
      <c r="E310" s="9">
        <f t="shared" si="4"/>
        <v>46234</v>
      </c>
      <c r="F310" s="8"/>
      <c r="G310" s="8"/>
      <c r="H310" s="24"/>
      <c r="I310" s="7"/>
      <c r="J310" s="10"/>
    </row>
    <row r="311" spans="4:10" x14ac:dyDescent="0.3">
      <c r="D311" s="3">
        <v>31</v>
      </c>
      <c r="E311" s="9">
        <f t="shared" si="4"/>
        <v>46234</v>
      </c>
      <c r="F311" s="8"/>
      <c r="G311" s="8"/>
      <c r="H311" s="24"/>
      <c r="I311" s="7"/>
      <c r="J311" s="10"/>
    </row>
    <row r="312" spans="4:10" ht="14.25" thickBot="1" x14ac:dyDescent="0.35">
      <c r="D312" s="3">
        <v>31</v>
      </c>
      <c r="E312" s="11">
        <f t="shared" si="4"/>
        <v>46234</v>
      </c>
      <c r="F312" s="12"/>
      <c r="G312" s="12"/>
      <c r="H312" s="26"/>
      <c r="I312" s="13"/>
      <c r="J312" s="14"/>
    </row>
    <row r="313" spans="4:10" x14ac:dyDescent="0.3">
      <c r="F313" s="6"/>
      <c r="G313" s="6"/>
    </row>
    <row r="314" spans="4:10" x14ac:dyDescent="0.3">
      <c r="F314" s="6"/>
      <c r="G314" s="6"/>
    </row>
    <row r="315" spans="4:10" x14ac:dyDescent="0.3">
      <c r="F315" s="6"/>
      <c r="G315" s="6"/>
    </row>
    <row r="316" spans="4:10" x14ac:dyDescent="0.3">
      <c r="F316" s="6"/>
      <c r="G316" s="6"/>
    </row>
    <row r="317" spans="4:10" x14ac:dyDescent="0.3">
      <c r="F317" s="6"/>
      <c r="G317" s="6"/>
    </row>
    <row r="318" spans="4:10" x14ac:dyDescent="0.3">
      <c r="F318" s="6"/>
      <c r="G318" s="6"/>
    </row>
    <row r="319" spans="4:10" x14ac:dyDescent="0.3">
      <c r="F319" s="6"/>
      <c r="G319" s="6"/>
    </row>
    <row r="320" spans="4:10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  <row r="331" spans="6:7" x14ac:dyDescent="0.3">
      <c r="F331" s="6"/>
      <c r="G331" s="6"/>
    </row>
    <row r="332" spans="6:7" x14ac:dyDescent="0.3">
      <c r="F332" s="6"/>
      <c r="G332" s="6"/>
    </row>
    <row r="333" spans="6:7" x14ac:dyDescent="0.3">
      <c r="F333" s="6"/>
      <c r="G333" s="6"/>
    </row>
    <row r="334" spans="6:7" x14ac:dyDescent="0.3">
      <c r="F334" s="6"/>
      <c r="G334" s="6"/>
    </row>
    <row r="335" spans="6:7" x14ac:dyDescent="0.3">
      <c r="F335" s="6"/>
      <c r="G335" s="6"/>
    </row>
    <row r="336" spans="6:7" x14ac:dyDescent="0.3">
      <c r="F336" s="6"/>
      <c r="G336" s="6"/>
    </row>
    <row r="337" spans="6:7" x14ac:dyDescent="0.3">
      <c r="F337" s="6"/>
      <c r="G337" s="6"/>
    </row>
    <row r="338" spans="6:7" x14ac:dyDescent="0.3">
      <c r="F338" s="6"/>
      <c r="G338" s="6"/>
    </row>
    <row r="339" spans="6:7" x14ac:dyDescent="0.3">
      <c r="F339" s="6"/>
      <c r="G339" s="6"/>
    </row>
    <row r="340" spans="6:7" x14ac:dyDescent="0.3">
      <c r="F340" s="6"/>
      <c r="G34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참조!$F$2:$F$3</xm:f>
          </x14:formula1>
          <xm:sqref>F3:F340</xm:sqref>
        </x14:dataValidation>
        <x14:dataValidation type="list" allowBlank="1" showInputMessage="1" showErrorMessage="1">
          <x14:formula1>
            <xm:f>참조!$G$2:$G$3</xm:f>
          </x14:formula1>
          <xm:sqref>G313:G340</xm:sqref>
        </x14:dataValidation>
        <x14:dataValidation type="list" allowBlank="1" showInputMessage="1" showErrorMessage="1">
          <x14:formula1>
            <xm:f>참조!$G:$G</xm:f>
          </x14:formula1>
          <xm:sqref>G3:G312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2"/>
  <sheetViews>
    <sheetView workbookViewId="0">
      <pane ySplit="2" topLeftCell="A3" activePane="bottomLeft" state="frozen"/>
      <selection activeCell="F17" sqref="F17"/>
      <selection pane="bottomLeft" activeCell="C3" sqref="C3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2" ht="14.25" thickBot="1" x14ac:dyDescent="0.35">
      <c r="A1" s="3" t="s">
        <v>22</v>
      </c>
      <c r="B1" s="3">
        <f>'2026년달력'!A1</f>
        <v>2026</v>
      </c>
    </row>
    <row r="2" spans="1:12" ht="14.25" thickBot="1" x14ac:dyDescent="0.35">
      <c r="A2" s="3" t="s">
        <v>1</v>
      </c>
      <c r="B2" s="3">
        <v>8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2" x14ac:dyDescent="0.3">
      <c r="D3" s="3">
        <v>1</v>
      </c>
      <c r="E3" s="15">
        <f>DATE($B$1,$B$2,$D3)</f>
        <v>46235</v>
      </c>
      <c r="F3" s="16"/>
      <c r="G3" s="16"/>
      <c r="H3" s="23"/>
      <c r="I3" s="17"/>
      <c r="J3" s="18"/>
    </row>
    <row r="4" spans="1:12" x14ac:dyDescent="0.3">
      <c r="D4" s="3">
        <v>1</v>
      </c>
      <c r="E4" s="9">
        <f t="shared" ref="E4:E67" si="0">DATE($B$1,$B$2,$D4)</f>
        <v>46235</v>
      </c>
      <c r="F4" s="8"/>
      <c r="G4" s="8"/>
      <c r="H4" s="24"/>
      <c r="I4" s="7"/>
      <c r="J4" s="10"/>
    </row>
    <row r="5" spans="1:12" x14ac:dyDescent="0.3">
      <c r="D5" s="3">
        <v>1</v>
      </c>
      <c r="E5" s="9">
        <f t="shared" si="0"/>
        <v>46235</v>
      </c>
      <c r="F5" s="8"/>
      <c r="G5" s="8"/>
      <c r="H5" s="24"/>
      <c r="I5" s="7"/>
      <c r="J5" s="10"/>
    </row>
    <row r="6" spans="1:12" x14ac:dyDescent="0.3">
      <c r="D6" s="3">
        <v>1</v>
      </c>
      <c r="E6" s="9">
        <f t="shared" si="0"/>
        <v>46235</v>
      </c>
      <c r="F6" s="8"/>
      <c r="G6" s="8"/>
      <c r="H6" s="24"/>
      <c r="I6" s="7"/>
      <c r="J6" s="10"/>
    </row>
    <row r="7" spans="1:12" x14ac:dyDescent="0.3">
      <c r="D7" s="3">
        <v>1</v>
      </c>
      <c r="E7" s="9">
        <f t="shared" si="0"/>
        <v>46235</v>
      </c>
      <c r="F7" s="8"/>
      <c r="G7" s="8"/>
      <c r="H7" s="24"/>
      <c r="I7" s="7"/>
      <c r="J7" s="10"/>
    </row>
    <row r="8" spans="1:12" x14ac:dyDescent="0.3">
      <c r="D8" s="3">
        <v>1</v>
      </c>
      <c r="E8" s="9">
        <f t="shared" si="0"/>
        <v>46235</v>
      </c>
      <c r="F8" s="8"/>
      <c r="G8" s="8"/>
      <c r="H8" s="24"/>
      <c r="I8" s="7"/>
      <c r="J8" s="10"/>
    </row>
    <row r="9" spans="1:12" x14ac:dyDescent="0.3">
      <c r="D9" s="3">
        <v>1</v>
      </c>
      <c r="E9" s="9">
        <f t="shared" si="0"/>
        <v>46235</v>
      </c>
      <c r="F9" s="8"/>
      <c r="G9" s="8"/>
      <c r="H9" s="24"/>
      <c r="I9" s="7"/>
      <c r="J9" s="10"/>
    </row>
    <row r="10" spans="1:12" x14ac:dyDescent="0.3">
      <c r="D10" s="3">
        <v>1</v>
      </c>
      <c r="E10" s="9">
        <f t="shared" si="0"/>
        <v>46235</v>
      </c>
      <c r="F10" s="8"/>
      <c r="G10" s="8"/>
      <c r="H10" s="24"/>
      <c r="I10" s="7"/>
      <c r="J10" s="10"/>
    </row>
    <row r="11" spans="1:12" x14ac:dyDescent="0.3">
      <c r="D11" s="3">
        <v>1</v>
      </c>
      <c r="E11" s="9">
        <f t="shared" si="0"/>
        <v>46235</v>
      </c>
      <c r="F11" s="8"/>
      <c r="G11" s="8"/>
      <c r="H11" s="24"/>
      <c r="I11" s="7"/>
      <c r="J11" s="10"/>
    </row>
    <row r="12" spans="1:12" x14ac:dyDescent="0.3">
      <c r="D12" s="3">
        <v>1</v>
      </c>
      <c r="E12" s="19">
        <f t="shared" si="0"/>
        <v>46235</v>
      </c>
      <c r="F12" s="20"/>
      <c r="G12" s="20"/>
      <c r="H12" s="25"/>
      <c r="I12" s="21"/>
      <c r="J12" s="22"/>
    </row>
    <row r="13" spans="1:12" x14ac:dyDescent="0.3">
      <c r="D13" s="3">
        <v>2</v>
      </c>
      <c r="E13" s="15">
        <f t="shared" si="0"/>
        <v>46236</v>
      </c>
      <c r="F13" s="16"/>
      <c r="G13" s="16"/>
      <c r="H13" s="23"/>
      <c r="I13" s="17"/>
      <c r="J13" s="18"/>
    </row>
    <row r="14" spans="1:12" x14ac:dyDescent="0.3">
      <c r="D14" s="3">
        <v>2</v>
      </c>
      <c r="E14" s="9">
        <f t="shared" si="0"/>
        <v>46236</v>
      </c>
      <c r="F14" s="8"/>
      <c r="G14" s="8"/>
      <c r="H14" s="24"/>
      <c r="I14" s="7"/>
      <c r="J14" s="10"/>
    </row>
    <row r="15" spans="1:12" x14ac:dyDescent="0.3">
      <c r="D15" s="3">
        <v>2</v>
      </c>
      <c r="E15" s="9">
        <f t="shared" si="0"/>
        <v>46236</v>
      </c>
      <c r="F15" s="8"/>
      <c r="G15" s="8"/>
      <c r="H15" s="24"/>
      <c r="I15" s="7"/>
      <c r="J15" s="10"/>
      <c r="L15" s="36"/>
    </row>
    <row r="16" spans="1:12" x14ac:dyDescent="0.3">
      <c r="D16" s="3">
        <v>2</v>
      </c>
      <c r="E16" s="9">
        <f t="shared" si="0"/>
        <v>46236</v>
      </c>
      <c r="F16" s="8"/>
      <c r="G16" s="8"/>
      <c r="H16" s="24"/>
      <c r="I16" s="7"/>
      <c r="J16" s="10"/>
    </row>
    <row r="17" spans="4:12" x14ac:dyDescent="0.3">
      <c r="D17" s="3">
        <v>2</v>
      </c>
      <c r="E17" s="9">
        <f t="shared" si="0"/>
        <v>46236</v>
      </c>
      <c r="F17" s="8"/>
      <c r="G17" s="8"/>
      <c r="H17" s="24"/>
      <c r="I17" s="7"/>
      <c r="J17" s="10"/>
    </row>
    <row r="18" spans="4:12" x14ac:dyDescent="0.3">
      <c r="D18" s="3">
        <v>2</v>
      </c>
      <c r="E18" s="9">
        <f t="shared" si="0"/>
        <v>46236</v>
      </c>
      <c r="F18" s="8"/>
      <c r="G18" s="8"/>
      <c r="H18" s="24"/>
      <c r="I18" s="7"/>
      <c r="J18" s="10"/>
    </row>
    <row r="19" spans="4:12" x14ac:dyDescent="0.3">
      <c r="D19" s="3">
        <v>2</v>
      </c>
      <c r="E19" s="9">
        <f t="shared" si="0"/>
        <v>46236</v>
      </c>
      <c r="F19" s="8"/>
      <c r="G19" s="8"/>
      <c r="H19" s="24"/>
      <c r="I19" s="7"/>
      <c r="J19" s="10"/>
    </row>
    <row r="20" spans="4:12" x14ac:dyDescent="0.3">
      <c r="D20" s="3">
        <v>2</v>
      </c>
      <c r="E20" s="9">
        <f t="shared" si="0"/>
        <v>46236</v>
      </c>
      <c r="F20" s="8"/>
      <c r="G20" s="8"/>
      <c r="H20" s="24"/>
      <c r="I20" s="7"/>
      <c r="J20" s="10"/>
    </row>
    <row r="21" spans="4:12" x14ac:dyDescent="0.3">
      <c r="D21" s="3">
        <v>2</v>
      </c>
      <c r="E21" s="9">
        <f t="shared" si="0"/>
        <v>46236</v>
      </c>
      <c r="F21" s="8"/>
      <c r="G21" s="8"/>
      <c r="H21" s="24"/>
      <c r="I21" s="7"/>
      <c r="J21" s="10"/>
      <c r="L21" s="36"/>
    </row>
    <row r="22" spans="4:12" x14ac:dyDescent="0.3">
      <c r="D22" s="3">
        <v>2</v>
      </c>
      <c r="E22" s="19">
        <f t="shared" si="0"/>
        <v>46236</v>
      </c>
      <c r="F22" s="20"/>
      <c r="G22" s="20"/>
      <c r="H22" s="25"/>
      <c r="I22" s="21"/>
      <c r="J22" s="22"/>
    </row>
    <row r="23" spans="4:12" x14ac:dyDescent="0.3">
      <c r="D23" s="3">
        <v>3</v>
      </c>
      <c r="E23" s="15">
        <f t="shared" si="0"/>
        <v>46237</v>
      </c>
      <c r="F23" s="16"/>
      <c r="G23" s="16"/>
      <c r="H23" s="23"/>
      <c r="I23" s="17"/>
      <c r="J23" s="18"/>
    </row>
    <row r="24" spans="4:12" x14ac:dyDescent="0.3">
      <c r="D24" s="3">
        <v>3</v>
      </c>
      <c r="E24" s="9">
        <f t="shared" si="0"/>
        <v>46237</v>
      </c>
      <c r="F24" s="8"/>
      <c r="G24" s="8"/>
      <c r="H24" s="24"/>
      <c r="I24" s="7"/>
      <c r="J24" s="10"/>
    </row>
    <row r="25" spans="4:12" x14ac:dyDescent="0.3">
      <c r="D25" s="3">
        <v>3</v>
      </c>
      <c r="E25" s="9">
        <f t="shared" si="0"/>
        <v>46237</v>
      </c>
      <c r="F25" s="8"/>
      <c r="G25" s="8"/>
      <c r="H25" s="24"/>
      <c r="I25" s="7"/>
      <c r="J25" s="10"/>
    </row>
    <row r="26" spans="4:12" x14ac:dyDescent="0.3">
      <c r="D26" s="3">
        <v>3</v>
      </c>
      <c r="E26" s="9">
        <f t="shared" si="0"/>
        <v>46237</v>
      </c>
      <c r="F26" s="8"/>
      <c r="G26" s="8"/>
      <c r="H26" s="24"/>
      <c r="I26" s="7"/>
      <c r="J26" s="10"/>
    </row>
    <row r="27" spans="4:12" x14ac:dyDescent="0.3">
      <c r="D27" s="3">
        <v>3</v>
      </c>
      <c r="E27" s="9">
        <f t="shared" si="0"/>
        <v>46237</v>
      </c>
      <c r="F27" s="8"/>
      <c r="G27" s="8"/>
      <c r="H27" s="24"/>
      <c r="I27" s="7"/>
      <c r="J27" s="10"/>
    </row>
    <row r="28" spans="4:12" x14ac:dyDescent="0.3">
      <c r="D28" s="3">
        <v>3</v>
      </c>
      <c r="E28" s="9">
        <f t="shared" si="0"/>
        <v>46237</v>
      </c>
      <c r="F28" s="8"/>
      <c r="G28" s="8"/>
      <c r="H28" s="24"/>
      <c r="I28" s="7"/>
      <c r="J28" s="10"/>
      <c r="L28" s="36"/>
    </row>
    <row r="29" spans="4:12" x14ac:dyDescent="0.3">
      <c r="D29" s="3">
        <v>3</v>
      </c>
      <c r="E29" s="9">
        <f t="shared" si="0"/>
        <v>46237</v>
      </c>
      <c r="F29" s="8"/>
      <c r="G29" s="8"/>
      <c r="H29" s="24"/>
      <c r="I29" s="7"/>
      <c r="J29" s="10"/>
    </row>
    <row r="30" spans="4:12" x14ac:dyDescent="0.3">
      <c r="D30" s="3">
        <v>3</v>
      </c>
      <c r="E30" s="9">
        <f t="shared" si="0"/>
        <v>46237</v>
      </c>
      <c r="F30" s="8"/>
      <c r="G30" s="8"/>
      <c r="H30" s="24"/>
      <c r="I30" s="7"/>
      <c r="J30" s="10"/>
    </row>
    <row r="31" spans="4:12" x14ac:dyDescent="0.3">
      <c r="D31" s="3">
        <v>3</v>
      </c>
      <c r="E31" s="9">
        <f t="shared" si="0"/>
        <v>46237</v>
      </c>
      <c r="F31" s="8"/>
      <c r="G31" s="8"/>
      <c r="H31" s="24"/>
      <c r="I31" s="7"/>
      <c r="J31" s="10"/>
    </row>
    <row r="32" spans="4:12" x14ac:dyDescent="0.3">
      <c r="D32" s="3">
        <v>3</v>
      </c>
      <c r="E32" s="19">
        <f t="shared" si="0"/>
        <v>46237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46238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46238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46238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46238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46238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46238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46238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46238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46238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46238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46239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46239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46239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46239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46239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46239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46239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46239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46239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46239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46240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46240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46240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46240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46240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46240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46240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46240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46240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46240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46241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46241</v>
      </c>
      <c r="F64" s="8"/>
      <c r="G64" s="8"/>
      <c r="H64" s="24"/>
      <c r="I64" s="7"/>
      <c r="J64" s="10"/>
    </row>
    <row r="65" spans="4:11" x14ac:dyDescent="0.3">
      <c r="D65" s="3">
        <v>7</v>
      </c>
      <c r="E65" s="9">
        <f t="shared" si="0"/>
        <v>46241</v>
      </c>
      <c r="F65" s="8"/>
      <c r="G65" s="8"/>
      <c r="H65" s="24"/>
      <c r="I65" s="7"/>
      <c r="J65" s="10"/>
    </row>
    <row r="66" spans="4:11" x14ac:dyDescent="0.3">
      <c r="D66" s="3">
        <v>7</v>
      </c>
      <c r="E66" s="9">
        <f t="shared" si="0"/>
        <v>46241</v>
      </c>
      <c r="F66" s="8"/>
      <c r="G66" s="8"/>
      <c r="H66" s="24"/>
      <c r="I66" s="7"/>
      <c r="J66" s="10"/>
    </row>
    <row r="67" spans="4:11" x14ac:dyDescent="0.3">
      <c r="D67" s="3">
        <v>7</v>
      </c>
      <c r="E67" s="9">
        <f t="shared" si="0"/>
        <v>46241</v>
      </c>
      <c r="F67" s="8"/>
      <c r="G67" s="8"/>
      <c r="H67" s="24"/>
      <c r="I67" s="7"/>
      <c r="J67" s="10"/>
    </row>
    <row r="68" spans="4:11" x14ac:dyDescent="0.3">
      <c r="D68" s="3">
        <v>7</v>
      </c>
      <c r="E68" s="9">
        <f t="shared" ref="E68:E131" si="1">DATE($B$1,$B$2,$D68)</f>
        <v>46241</v>
      </c>
      <c r="F68" s="8"/>
      <c r="G68" s="8"/>
      <c r="H68" s="24"/>
      <c r="I68" s="7"/>
      <c r="J68" s="10"/>
    </row>
    <row r="69" spans="4:11" x14ac:dyDescent="0.3">
      <c r="D69" s="3">
        <v>7</v>
      </c>
      <c r="E69" s="9">
        <f t="shared" si="1"/>
        <v>46241</v>
      </c>
      <c r="F69" s="8"/>
      <c r="G69" s="8"/>
      <c r="H69" s="24"/>
      <c r="I69" s="7"/>
      <c r="J69" s="10"/>
    </row>
    <row r="70" spans="4:11" x14ac:dyDescent="0.3">
      <c r="D70" s="3">
        <v>7</v>
      </c>
      <c r="E70" s="9">
        <f t="shared" si="1"/>
        <v>46241</v>
      </c>
      <c r="F70" s="8"/>
      <c r="G70" s="8"/>
      <c r="H70" s="24"/>
      <c r="I70" s="7"/>
      <c r="J70" s="10"/>
    </row>
    <row r="71" spans="4:11" x14ac:dyDescent="0.3">
      <c r="D71" s="3">
        <v>7</v>
      </c>
      <c r="E71" s="9">
        <f t="shared" si="1"/>
        <v>46241</v>
      </c>
      <c r="F71" s="8"/>
      <c r="G71" s="8"/>
      <c r="H71" s="24"/>
      <c r="I71" s="7"/>
      <c r="J71" s="10"/>
    </row>
    <row r="72" spans="4:11" x14ac:dyDescent="0.3">
      <c r="D72" s="3">
        <v>7</v>
      </c>
      <c r="E72" s="19">
        <f t="shared" si="1"/>
        <v>46241</v>
      </c>
      <c r="F72" s="20"/>
      <c r="G72" s="20"/>
      <c r="H72" s="25"/>
      <c r="I72" s="21"/>
      <c r="J72" s="22"/>
    </row>
    <row r="73" spans="4:11" x14ac:dyDescent="0.3">
      <c r="D73" s="3">
        <v>8</v>
      </c>
      <c r="E73" s="15">
        <f t="shared" si="1"/>
        <v>46242</v>
      </c>
      <c r="F73" s="16"/>
      <c r="G73" s="16"/>
      <c r="H73" s="23"/>
      <c r="I73" s="17"/>
      <c r="J73" s="18"/>
    </row>
    <row r="74" spans="4:11" x14ac:dyDescent="0.3">
      <c r="D74" s="3">
        <v>8</v>
      </c>
      <c r="E74" s="9">
        <f t="shared" si="1"/>
        <v>46242</v>
      </c>
      <c r="F74" s="8"/>
      <c r="G74" s="8"/>
      <c r="H74" s="24"/>
      <c r="I74" s="7"/>
      <c r="J74" s="10"/>
      <c r="K74" s="36"/>
    </row>
    <row r="75" spans="4:11" x14ac:dyDescent="0.3">
      <c r="D75" s="3">
        <v>8</v>
      </c>
      <c r="E75" s="9">
        <f t="shared" si="1"/>
        <v>46242</v>
      </c>
      <c r="F75" s="8"/>
      <c r="G75" s="8"/>
      <c r="H75" s="24"/>
      <c r="I75" s="7"/>
      <c r="J75" s="10"/>
    </row>
    <row r="76" spans="4:11" x14ac:dyDescent="0.3">
      <c r="D76" s="3">
        <v>8</v>
      </c>
      <c r="E76" s="9">
        <f t="shared" si="1"/>
        <v>46242</v>
      </c>
      <c r="F76" s="8"/>
      <c r="G76" s="8"/>
      <c r="H76" s="24"/>
      <c r="I76" s="7"/>
      <c r="J76" s="10"/>
    </row>
    <row r="77" spans="4:11" x14ac:dyDescent="0.3">
      <c r="D77" s="3">
        <v>8</v>
      </c>
      <c r="E77" s="9">
        <f t="shared" si="1"/>
        <v>46242</v>
      </c>
      <c r="F77" s="8"/>
      <c r="G77" s="8"/>
      <c r="H77" s="24"/>
      <c r="I77" s="7"/>
      <c r="J77" s="10"/>
    </row>
    <row r="78" spans="4:11" x14ac:dyDescent="0.3">
      <c r="D78" s="3">
        <v>8</v>
      </c>
      <c r="E78" s="9">
        <f t="shared" si="1"/>
        <v>46242</v>
      </c>
      <c r="F78" s="8"/>
      <c r="G78" s="8"/>
      <c r="H78" s="24"/>
      <c r="I78" s="7"/>
      <c r="J78" s="10"/>
    </row>
    <row r="79" spans="4:11" x14ac:dyDescent="0.3">
      <c r="D79" s="3">
        <v>8</v>
      </c>
      <c r="E79" s="9">
        <f t="shared" si="1"/>
        <v>46242</v>
      </c>
      <c r="F79" s="8"/>
      <c r="G79" s="8"/>
      <c r="H79" s="24"/>
      <c r="I79" s="7"/>
      <c r="J79" s="10"/>
    </row>
    <row r="80" spans="4:11" x14ac:dyDescent="0.3">
      <c r="D80" s="3">
        <v>8</v>
      </c>
      <c r="E80" s="9">
        <f t="shared" si="1"/>
        <v>46242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46242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46242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46243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46243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46243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46243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46243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46243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46243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46243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46243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46243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46244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46244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46244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46244</v>
      </c>
      <c r="F96" s="8"/>
      <c r="G96" s="8"/>
      <c r="H96" s="24"/>
      <c r="I96" s="7"/>
      <c r="J96" s="10"/>
    </row>
    <row r="97" spans="4:10" x14ac:dyDescent="0.3">
      <c r="D97" s="3">
        <v>10</v>
      </c>
      <c r="E97" s="9">
        <f t="shared" si="1"/>
        <v>46244</v>
      </c>
      <c r="F97" s="8"/>
      <c r="G97" s="8"/>
      <c r="H97" s="24"/>
      <c r="I97" s="7"/>
      <c r="J97" s="10"/>
    </row>
    <row r="98" spans="4:10" x14ac:dyDescent="0.3">
      <c r="D98" s="3">
        <v>10</v>
      </c>
      <c r="E98" s="9">
        <f t="shared" si="1"/>
        <v>46244</v>
      </c>
      <c r="F98" s="8"/>
      <c r="G98" s="8"/>
      <c r="H98" s="24"/>
      <c r="I98" s="7"/>
      <c r="J98" s="10"/>
    </row>
    <row r="99" spans="4:10" x14ac:dyDescent="0.3">
      <c r="D99" s="3">
        <v>10</v>
      </c>
      <c r="E99" s="9">
        <f t="shared" si="1"/>
        <v>46244</v>
      </c>
      <c r="F99" s="8"/>
      <c r="G99" s="8"/>
      <c r="H99" s="24"/>
      <c r="I99" s="7"/>
      <c r="J99" s="10"/>
    </row>
    <row r="100" spans="4:10" x14ac:dyDescent="0.3">
      <c r="D100" s="3">
        <v>10</v>
      </c>
      <c r="E100" s="9">
        <f t="shared" si="1"/>
        <v>46244</v>
      </c>
      <c r="F100" s="8"/>
      <c r="G100" s="8"/>
      <c r="H100" s="24"/>
      <c r="I100" s="7"/>
      <c r="J100" s="10"/>
    </row>
    <row r="101" spans="4:10" x14ac:dyDescent="0.3">
      <c r="D101" s="3">
        <v>10</v>
      </c>
      <c r="E101" s="9">
        <f t="shared" si="1"/>
        <v>46244</v>
      </c>
      <c r="F101" s="8"/>
      <c r="G101" s="8"/>
      <c r="H101" s="24"/>
      <c r="I101" s="7"/>
      <c r="J101" s="10"/>
    </row>
    <row r="102" spans="4:10" x14ac:dyDescent="0.3">
      <c r="D102" s="3">
        <v>10</v>
      </c>
      <c r="E102" s="19">
        <f t="shared" si="1"/>
        <v>46244</v>
      </c>
      <c r="F102" s="20"/>
      <c r="G102" s="20"/>
      <c r="H102" s="25"/>
      <c r="I102" s="21"/>
      <c r="J102" s="22"/>
    </row>
    <row r="103" spans="4:10" x14ac:dyDescent="0.3">
      <c r="D103" s="3">
        <v>11</v>
      </c>
      <c r="E103" s="15">
        <f t="shared" si="1"/>
        <v>46245</v>
      </c>
      <c r="F103" s="16"/>
      <c r="G103" s="16"/>
      <c r="H103" s="23"/>
      <c r="I103" s="17"/>
      <c r="J103" s="18"/>
    </row>
    <row r="104" spans="4:10" x14ac:dyDescent="0.3">
      <c r="D104" s="3">
        <v>11</v>
      </c>
      <c r="E104" s="9">
        <f t="shared" si="1"/>
        <v>46245</v>
      </c>
      <c r="F104" s="8"/>
      <c r="G104" s="8"/>
      <c r="H104" s="24"/>
      <c r="I104" s="7"/>
      <c r="J104" s="10"/>
    </row>
    <row r="105" spans="4:10" x14ac:dyDescent="0.3">
      <c r="D105" s="3">
        <v>11</v>
      </c>
      <c r="E105" s="9">
        <f t="shared" si="1"/>
        <v>46245</v>
      </c>
      <c r="F105" s="8"/>
      <c r="G105" s="8"/>
      <c r="H105" s="24"/>
      <c r="I105" s="7"/>
      <c r="J105" s="10"/>
    </row>
    <row r="106" spans="4:10" x14ac:dyDescent="0.3">
      <c r="D106" s="3">
        <v>11</v>
      </c>
      <c r="E106" s="9">
        <f t="shared" si="1"/>
        <v>46245</v>
      </c>
      <c r="F106" s="8"/>
      <c r="G106" s="8"/>
      <c r="H106" s="24"/>
      <c r="I106" s="7"/>
      <c r="J106" s="10"/>
    </row>
    <row r="107" spans="4:10" x14ac:dyDescent="0.3">
      <c r="D107" s="3">
        <v>11</v>
      </c>
      <c r="E107" s="9">
        <f t="shared" si="1"/>
        <v>46245</v>
      </c>
      <c r="F107" s="8"/>
      <c r="G107" s="8"/>
      <c r="H107" s="24"/>
      <c r="I107" s="7"/>
      <c r="J107" s="10"/>
    </row>
    <row r="108" spans="4:10" x14ac:dyDescent="0.3">
      <c r="D108" s="3">
        <v>11</v>
      </c>
      <c r="E108" s="9">
        <f t="shared" si="1"/>
        <v>46245</v>
      </c>
      <c r="F108" s="8"/>
      <c r="G108" s="8"/>
      <c r="H108" s="24"/>
      <c r="I108" s="7"/>
      <c r="J108" s="10"/>
    </row>
    <row r="109" spans="4:10" x14ac:dyDescent="0.3">
      <c r="D109" s="3">
        <v>11</v>
      </c>
      <c r="E109" s="9">
        <f t="shared" si="1"/>
        <v>46245</v>
      </c>
      <c r="F109" s="8"/>
      <c r="G109" s="8"/>
      <c r="H109" s="24"/>
      <c r="I109" s="7"/>
      <c r="J109" s="10"/>
    </row>
    <row r="110" spans="4:10" x14ac:dyDescent="0.3">
      <c r="D110" s="3">
        <v>11</v>
      </c>
      <c r="E110" s="9">
        <f t="shared" si="1"/>
        <v>46245</v>
      </c>
      <c r="F110" s="8"/>
      <c r="G110" s="8"/>
      <c r="H110" s="24"/>
      <c r="I110" s="7"/>
      <c r="J110" s="10"/>
    </row>
    <row r="111" spans="4:10" x14ac:dyDescent="0.3">
      <c r="D111" s="3">
        <v>11</v>
      </c>
      <c r="E111" s="9">
        <f t="shared" si="1"/>
        <v>46245</v>
      </c>
      <c r="F111" s="8"/>
      <c r="G111" s="8"/>
      <c r="H111" s="24"/>
      <c r="I111" s="7"/>
      <c r="J111" s="10"/>
    </row>
    <row r="112" spans="4:10" x14ac:dyDescent="0.3">
      <c r="D112" s="3">
        <v>11</v>
      </c>
      <c r="E112" s="19">
        <f t="shared" si="1"/>
        <v>46245</v>
      </c>
      <c r="F112" s="20"/>
      <c r="G112" s="20"/>
      <c r="H112" s="25"/>
      <c r="I112" s="21"/>
      <c r="J112" s="22"/>
    </row>
    <row r="113" spans="4:10" x14ac:dyDescent="0.3">
      <c r="D113" s="3">
        <v>12</v>
      </c>
      <c r="E113" s="15">
        <f t="shared" si="1"/>
        <v>46246</v>
      </c>
      <c r="F113" s="16"/>
      <c r="G113" s="16"/>
      <c r="H113" s="23"/>
      <c r="I113" s="17"/>
      <c r="J113" s="18"/>
    </row>
    <row r="114" spans="4:10" x14ac:dyDescent="0.3">
      <c r="D114" s="3">
        <v>12</v>
      </c>
      <c r="E114" s="9">
        <f t="shared" si="1"/>
        <v>46246</v>
      </c>
      <c r="F114" s="8"/>
      <c r="G114" s="8"/>
      <c r="H114" s="24"/>
      <c r="I114" s="7"/>
      <c r="J114" s="10"/>
    </row>
    <row r="115" spans="4:10" x14ac:dyDescent="0.3">
      <c r="D115" s="3">
        <v>12</v>
      </c>
      <c r="E115" s="9">
        <f t="shared" si="1"/>
        <v>46246</v>
      </c>
      <c r="F115" s="8"/>
      <c r="G115" s="8"/>
      <c r="H115" s="24"/>
      <c r="I115" s="7"/>
      <c r="J115" s="10"/>
    </row>
    <row r="116" spans="4:10" x14ac:dyDescent="0.3">
      <c r="D116" s="3">
        <v>12</v>
      </c>
      <c r="E116" s="9">
        <f t="shared" si="1"/>
        <v>46246</v>
      </c>
      <c r="F116" s="8"/>
      <c r="G116" s="8"/>
      <c r="H116" s="24"/>
      <c r="I116" s="7"/>
      <c r="J116" s="10"/>
    </row>
    <row r="117" spans="4:10" x14ac:dyDescent="0.3">
      <c r="D117" s="3">
        <v>12</v>
      </c>
      <c r="E117" s="9">
        <f t="shared" si="1"/>
        <v>46246</v>
      </c>
      <c r="F117" s="8"/>
      <c r="G117" s="8"/>
      <c r="H117" s="24"/>
      <c r="I117" s="7"/>
      <c r="J117" s="10"/>
    </row>
    <row r="118" spans="4:10" x14ac:dyDescent="0.3">
      <c r="D118" s="3">
        <v>12</v>
      </c>
      <c r="E118" s="9">
        <f t="shared" si="1"/>
        <v>46246</v>
      </c>
      <c r="F118" s="8"/>
      <c r="G118" s="8"/>
      <c r="H118" s="24"/>
      <c r="I118" s="7"/>
      <c r="J118" s="10"/>
    </row>
    <row r="119" spans="4:10" x14ac:dyDescent="0.3">
      <c r="D119" s="3">
        <v>12</v>
      </c>
      <c r="E119" s="9">
        <f t="shared" si="1"/>
        <v>46246</v>
      </c>
      <c r="F119" s="8"/>
      <c r="G119" s="8"/>
      <c r="H119" s="24"/>
      <c r="I119" s="7"/>
      <c r="J119" s="10"/>
    </row>
    <row r="120" spans="4:10" x14ac:dyDescent="0.3">
      <c r="D120" s="3">
        <v>12</v>
      </c>
      <c r="E120" s="9">
        <f t="shared" si="1"/>
        <v>46246</v>
      </c>
      <c r="F120" s="8"/>
      <c r="G120" s="8"/>
      <c r="H120" s="24"/>
      <c r="I120" s="7"/>
      <c r="J120" s="10"/>
    </row>
    <row r="121" spans="4:10" x14ac:dyDescent="0.3">
      <c r="D121" s="3">
        <v>12</v>
      </c>
      <c r="E121" s="9">
        <f t="shared" si="1"/>
        <v>46246</v>
      </c>
      <c r="F121" s="8"/>
      <c r="G121" s="8"/>
      <c r="H121" s="24"/>
      <c r="I121" s="7"/>
      <c r="J121" s="10"/>
    </row>
    <row r="122" spans="4:10" x14ac:dyDescent="0.3">
      <c r="D122" s="3">
        <v>12</v>
      </c>
      <c r="E122" s="19">
        <f t="shared" si="1"/>
        <v>46246</v>
      </c>
      <c r="F122" s="20"/>
      <c r="G122" s="20"/>
      <c r="H122" s="25"/>
      <c r="I122" s="21"/>
      <c r="J122" s="22"/>
    </row>
    <row r="123" spans="4:10" x14ac:dyDescent="0.3">
      <c r="D123" s="3">
        <v>13</v>
      </c>
      <c r="E123" s="15">
        <f t="shared" si="1"/>
        <v>46247</v>
      </c>
      <c r="F123" s="16"/>
      <c r="G123" s="16"/>
      <c r="H123" s="23"/>
      <c r="I123" s="17"/>
      <c r="J123" s="18"/>
    </row>
    <row r="124" spans="4:10" x14ac:dyDescent="0.3">
      <c r="D124" s="3">
        <v>13</v>
      </c>
      <c r="E124" s="9">
        <f t="shared" si="1"/>
        <v>46247</v>
      </c>
      <c r="F124" s="8"/>
      <c r="G124" s="8"/>
      <c r="H124" s="24"/>
      <c r="I124" s="7"/>
      <c r="J124" s="10"/>
    </row>
    <row r="125" spans="4:10" x14ac:dyDescent="0.3">
      <c r="D125" s="3">
        <v>13</v>
      </c>
      <c r="E125" s="9">
        <f t="shared" si="1"/>
        <v>46247</v>
      </c>
      <c r="F125" s="8"/>
      <c r="G125" s="8"/>
      <c r="H125" s="24"/>
      <c r="I125" s="7"/>
      <c r="J125" s="10"/>
    </row>
    <row r="126" spans="4:10" x14ac:dyDescent="0.3">
      <c r="D126" s="3">
        <v>13</v>
      </c>
      <c r="E126" s="9">
        <f t="shared" si="1"/>
        <v>46247</v>
      </c>
      <c r="F126" s="8"/>
      <c r="G126" s="8"/>
      <c r="H126" s="24"/>
      <c r="I126" s="7"/>
      <c r="J126" s="10"/>
    </row>
    <row r="127" spans="4:10" x14ac:dyDescent="0.3">
      <c r="D127" s="3">
        <v>13</v>
      </c>
      <c r="E127" s="9">
        <f t="shared" si="1"/>
        <v>46247</v>
      </c>
      <c r="F127" s="8"/>
      <c r="G127" s="8"/>
      <c r="H127" s="24"/>
      <c r="I127" s="7"/>
      <c r="J127" s="10"/>
    </row>
    <row r="128" spans="4:10" x14ac:dyDescent="0.3">
      <c r="D128" s="3">
        <v>13</v>
      </c>
      <c r="E128" s="9">
        <f t="shared" si="1"/>
        <v>46247</v>
      </c>
      <c r="F128" s="8"/>
      <c r="G128" s="8"/>
      <c r="H128" s="24"/>
      <c r="I128" s="7"/>
      <c r="J128" s="10"/>
    </row>
    <row r="129" spans="4:12" x14ac:dyDescent="0.3">
      <c r="D129" s="3">
        <v>13</v>
      </c>
      <c r="E129" s="9">
        <f t="shared" si="1"/>
        <v>46247</v>
      </c>
      <c r="F129" s="8"/>
      <c r="G129" s="8"/>
      <c r="H129" s="24"/>
      <c r="I129" s="7"/>
      <c r="J129" s="10"/>
    </row>
    <row r="130" spans="4:12" x14ac:dyDescent="0.3">
      <c r="D130" s="3">
        <v>13</v>
      </c>
      <c r="E130" s="9">
        <f t="shared" si="1"/>
        <v>46247</v>
      </c>
      <c r="F130" s="8"/>
      <c r="G130" s="8"/>
      <c r="H130" s="24"/>
      <c r="I130" s="7"/>
      <c r="J130" s="10"/>
    </row>
    <row r="131" spans="4:12" x14ac:dyDescent="0.3">
      <c r="D131" s="3">
        <v>13</v>
      </c>
      <c r="E131" s="9">
        <f t="shared" si="1"/>
        <v>46247</v>
      </c>
      <c r="F131" s="8"/>
      <c r="G131" s="8"/>
      <c r="H131" s="24"/>
      <c r="I131" s="7"/>
      <c r="J131" s="10"/>
    </row>
    <row r="132" spans="4:12" x14ac:dyDescent="0.3">
      <c r="D132" s="3">
        <v>13</v>
      </c>
      <c r="E132" s="19">
        <f t="shared" ref="E132:E195" si="2">DATE($B$1,$B$2,$D132)</f>
        <v>46247</v>
      </c>
      <c r="F132" s="20"/>
      <c r="G132" s="20"/>
      <c r="H132" s="25"/>
      <c r="I132" s="21"/>
      <c r="J132" s="22"/>
    </row>
    <row r="133" spans="4:12" x14ac:dyDescent="0.3">
      <c r="D133" s="3">
        <v>14</v>
      </c>
      <c r="E133" s="15">
        <f t="shared" si="2"/>
        <v>46248</v>
      </c>
      <c r="F133" s="16"/>
      <c r="G133" s="16"/>
      <c r="H133" s="23"/>
      <c r="I133" s="17"/>
      <c r="J133" s="18"/>
    </row>
    <row r="134" spans="4:12" x14ac:dyDescent="0.3">
      <c r="D134" s="3">
        <v>14</v>
      </c>
      <c r="E134" s="9">
        <f t="shared" si="2"/>
        <v>46248</v>
      </c>
      <c r="F134" s="8"/>
      <c r="G134" s="8"/>
      <c r="H134" s="24"/>
      <c r="I134" s="7"/>
      <c r="J134" s="10"/>
    </row>
    <row r="135" spans="4:12" x14ac:dyDescent="0.3">
      <c r="D135" s="3">
        <v>14</v>
      </c>
      <c r="E135" s="9">
        <f t="shared" si="2"/>
        <v>46248</v>
      </c>
      <c r="F135" s="8"/>
      <c r="G135" s="8"/>
      <c r="H135" s="24"/>
      <c r="I135" s="7"/>
      <c r="J135" s="10"/>
    </row>
    <row r="136" spans="4:12" x14ac:dyDescent="0.3">
      <c r="D136" s="3">
        <v>14</v>
      </c>
      <c r="E136" s="9">
        <f t="shared" si="2"/>
        <v>46248</v>
      </c>
      <c r="F136" s="8"/>
      <c r="G136" s="8"/>
      <c r="H136" s="24"/>
      <c r="I136" s="7"/>
      <c r="J136" s="10"/>
    </row>
    <row r="137" spans="4:12" x14ac:dyDescent="0.3">
      <c r="D137" s="3">
        <v>14</v>
      </c>
      <c r="E137" s="9">
        <f t="shared" si="2"/>
        <v>46248</v>
      </c>
      <c r="F137" s="8"/>
      <c r="G137" s="8"/>
      <c r="H137" s="24"/>
      <c r="I137" s="7"/>
      <c r="J137" s="10"/>
    </row>
    <row r="138" spans="4:12" x14ac:dyDescent="0.3">
      <c r="D138" s="3">
        <v>14</v>
      </c>
      <c r="E138" s="9">
        <f t="shared" si="2"/>
        <v>46248</v>
      </c>
      <c r="F138" s="8"/>
      <c r="G138" s="8"/>
      <c r="H138" s="24"/>
      <c r="I138" s="7"/>
      <c r="J138" s="10"/>
      <c r="L138" s="36"/>
    </row>
    <row r="139" spans="4:12" x14ac:dyDescent="0.3">
      <c r="D139" s="3">
        <v>14</v>
      </c>
      <c r="E139" s="9">
        <f t="shared" si="2"/>
        <v>46248</v>
      </c>
      <c r="F139" s="8"/>
      <c r="G139" s="8"/>
      <c r="H139" s="24"/>
      <c r="I139" s="7"/>
      <c r="J139" s="10"/>
    </row>
    <row r="140" spans="4:12" x14ac:dyDescent="0.3">
      <c r="D140" s="3">
        <v>14</v>
      </c>
      <c r="E140" s="9">
        <f t="shared" si="2"/>
        <v>46248</v>
      </c>
      <c r="F140" s="8"/>
      <c r="G140" s="8"/>
      <c r="H140" s="24"/>
      <c r="I140" s="7"/>
      <c r="J140" s="10"/>
    </row>
    <row r="141" spans="4:12" x14ac:dyDescent="0.3">
      <c r="D141" s="3">
        <v>14</v>
      </c>
      <c r="E141" s="9">
        <f t="shared" si="2"/>
        <v>46248</v>
      </c>
      <c r="F141" s="8"/>
      <c r="G141" s="8"/>
      <c r="H141" s="24"/>
      <c r="I141" s="7"/>
      <c r="J141" s="10"/>
    </row>
    <row r="142" spans="4:12" x14ac:dyDescent="0.3">
      <c r="D142" s="3">
        <v>14</v>
      </c>
      <c r="E142" s="19">
        <f t="shared" si="2"/>
        <v>46248</v>
      </c>
      <c r="F142" s="20"/>
      <c r="G142" s="20"/>
      <c r="H142" s="25"/>
      <c r="I142" s="21"/>
      <c r="J142" s="22"/>
    </row>
    <row r="143" spans="4:12" x14ac:dyDescent="0.3">
      <c r="D143" s="3">
        <v>15</v>
      </c>
      <c r="E143" s="15">
        <f t="shared" si="2"/>
        <v>46249</v>
      </c>
      <c r="F143" s="16"/>
      <c r="G143" s="16"/>
      <c r="H143" s="23"/>
      <c r="I143" s="17"/>
      <c r="J143" s="18"/>
    </row>
    <row r="144" spans="4:12" x14ac:dyDescent="0.3">
      <c r="D144" s="3">
        <v>15</v>
      </c>
      <c r="E144" s="9">
        <f t="shared" si="2"/>
        <v>46249</v>
      </c>
      <c r="F144" s="8"/>
      <c r="G144" s="8"/>
      <c r="H144" s="24"/>
      <c r="I144" s="7"/>
      <c r="J144" s="10"/>
      <c r="L144" s="36"/>
    </row>
    <row r="145" spans="4:10" x14ac:dyDescent="0.3">
      <c r="D145" s="3">
        <v>15</v>
      </c>
      <c r="E145" s="9">
        <f t="shared" si="2"/>
        <v>46249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46249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46249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46249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46249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46249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46249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46249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46250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46250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46250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46250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46250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46250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46250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46250</v>
      </c>
      <c r="F160" s="8"/>
      <c r="G160" s="8"/>
      <c r="H160" s="24"/>
      <c r="I160" s="7"/>
      <c r="J160" s="10"/>
    </row>
    <row r="161" spans="4:12" x14ac:dyDescent="0.3">
      <c r="D161" s="3">
        <v>16</v>
      </c>
      <c r="E161" s="9">
        <f t="shared" si="2"/>
        <v>46250</v>
      </c>
      <c r="F161" s="8"/>
      <c r="G161" s="8"/>
      <c r="H161" s="24"/>
      <c r="I161" s="7"/>
      <c r="J161" s="10"/>
    </row>
    <row r="162" spans="4:12" x14ac:dyDescent="0.3">
      <c r="D162" s="3">
        <v>16</v>
      </c>
      <c r="E162" s="19">
        <f t="shared" si="2"/>
        <v>46250</v>
      </c>
      <c r="F162" s="20"/>
      <c r="G162" s="20"/>
      <c r="H162" s="25"/>
      <c r="I162" s="21"/>
      <c r="J162" s="22"/>
    </row>
    <row r="163" spans="4:12" x14ac:dyDescent="0.3">
      <c r="D163" s="3">
        <v>17</v>
      </c>
      <c r="E163" s="15">
        <f t="shared" si="2"/>
        <v>46251</v>
      </c>
      <c r="F163" s="16"/>
      <c r="G163" s="16"/>
      <c r="H163" s="23"/>
      <c r="I163" s="17"/>
      <c r="J163" s="18"/>
    </row>
    <row r="164" spans="4:12" x14ac:dyDescent="0.3">
      <c r="D164" s="3">
        <v>17</v>
      </c>
      <c r="E164" s="9">
        <f t="shared" si="2"/>
        <v>46251</v>
      </c>
      <c r="F164" s="8"/>
      <c r="G164" s="8"/>
      <c r="H164" s="24"/>
      <c r="I164" s="7"/>
      <c r="J164" s="10"/>
    </row>
    <row r="165" spans="4:12" x14ac:dyDescent="0.3">
      <c r="D165" s="3">
        <v>17</v>
      </c>
      <c r="E165" s="9">
        <f t="shared" si="2"/>
        <v>46251</v>
      </c>
      <c r="F165" s="8"/>
      <c r="G165" s="8"/>
      <c r="H165" s="24"/>
      <c r="I165" s="7"/>
      <c r="J165" s="10"/>
    </row>
    <row r="166" spans="4:12" x14ac:dyDescent="0.3">
      <c r="D166" s="3">
        <v>17</v>
      </c>
      <c r="E166" s="9">
        <f t="shared" si="2"/>
        <v>46251</v>
      </c>
      <c r="F166" s="8"/>
      <c r="G166" s="8"/>
      <c r="H166" s="24"/>
      <c r="I166" s="7"/>
      <c r="J166" s="10"/>
    </row>
    <row r="167" spans="4:12" x14ac:dyDescent="0.3">
      <c r="D167" s="3">
        <v>17</v>
      </c>
      <c r="E167" s="9">
        <f t="shared" si="2"/>
        <v>46251</v>
      </c>
      <c r="F167" s="8"/>
      <c r="G167" s="8"/>
      <c r="H167" s="24"/>
      <c r="I167" s="7"/>
      <c r="J167" s="10"/>
    </row>
    <row r="168" spans="4:12" x14ac:dyDescent="0.3">
      <c r="D168" s="3">
        <v>17</v>
      </c>
      <c r="E168" s="9">
        <f t="shared" si="2"/>
        <v>46251</v>
      </c>
      <c r="F168" s="8"/>
      <c r="G168" s="8"/>
      <c r="H168" s="24"/>
      <c r="I168" s="7"/>
      <c r="J168" s="10"/>
    </row>
    <row r="169" spans="4:12" x14ac:dyDescent="0.3">
      <c r="D169" s="3">
        <v>17</v>
      </c>
      <c r="E169" s="9">
        <f t="shared" si="2"/>
        <v>46251</v>
      </c>
      <c r="F169" s="8"/>
      <c r="G169" s="8"/>
      <c r="H169" s="24"/>
      <c r="I169" s="7"/>
      <c r="J169" s="10"/>
    </row>
    <row r="170" spans="4:12" x14ac:dyDescent="0.3">
      <c r="D170" s="3">
        <v>17</v>
      </c>
      <c r="E170" s="9">
        <f t="shared" si="2"/>
        <v>46251</v>
      </c>
      <c r="F170" s="8"/>
      <c r="G170" s="8"/>
      <c r="H170" s="24"/>
      <c r="I170" s="7"/>
      <c r="J170" s="10"/>
    </row>
    <row r="171" spans="4:12" x14ac:dyDescent="0.3">
      <c r="D171" s="3">
        <v>17</v>
      </c>
      <c r="E171" s="9">
        <f t="shared" si="2"/>
        <v>46251</v>
      </c>
      <c r="F171" s="8"/>
      <c r="G171" s="8"/>
      <c r="H171" s="24"/>
      <c r="I171" s="7"/>
      <c r="J171" s="10"/>
      <c r="L171" s="36"/>
    </row>
    <row r="172" spans="4:12" x14ac:dyDescent="0.3">
      <c r="D172" s="3">
        <v>17</v>
      </c>
      <c r="E172" s="19">
        <f t="shared" si="2"/>
        <v>46251</v>
      </c>
      <c r="F172" s="20"/>
      <c r="G172" s="20"/>
      <c r="H172" s="25"/>
      <c r="I172" s="21"/>
      <c r="J172" s="22"/>
    </row>
    <row r="173" spans="4:12" x14ac:dyDescent="0.3">
      <c r="D173" s="3">
        <v>18</v>
      </c>
      <c r="E173" s="15">
        <f t="shared" si="2"/>
        <v>46252</v>
      </c>
      <c r="F173" s="16"/>
      <c r="G173" s="16"/>
      <c r="H173" s="23"/>
      <c r="I173" s="17"/>
      <c r="J173" s="18"/>
    </row>
    <row r="174" spans="4:12" x14ac:dyDescent="0.3">
      <c r="D174" s="3">
        <v>18</v>
      </c>
      <c r="E174" s="9">
        <f t="shared" si="2"/>
        <v>46252</v>
      </c>
      <c r="F174" s="8"/>
      <c r="G174" s="8"/>
      <c r="H174" s="24"/>
      <c r="I174" s="7"/>
      <c r="J174" s="10"/>
    </row>
    <row r="175" spans="4:12" x14ac:dyDescent="0.3">
      <c r="D175" s="3">
        <v>18</v>
      </c>
      <c r="E175" s="9">
        <f t="shared" si="2"/>
        <v>46252</v>
      </c>
      <c r="F175" s="8"/>
      <c r="G175" s="8"/>
      <c r="H175" s="24"/>
      <c r="I175" s="7"/>
      <c r="J175" s="10"/>
    </row>
    <row r="176" spans="4:12" x14ac:dyDescent="0.3">
      <c r="D176" s="3">
        <v>18</v>
      </c>
      <c r="E176" s="9">
        <f t="shared" si="2"/>
        <v>46252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46252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46252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46252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46252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46252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46252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46253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46253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46253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46253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46253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46253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46253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46253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46253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46253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46254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46254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46254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61" si="3">DATE($B$1,$B$2,$D196)</f>
        <v>46254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46254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46254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46254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46254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46254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46254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46255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46255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46255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46255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46255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46255</v>
      </c>
      <c r="F208" s="8"/>
      <c r="G208" s="8"/>
      <c r="H208" s="24"/>
      <c r="I208" s="7"/>
      <c r="J208" s="10"/>
    </row>
    <row r="209" spans="4:15" x14ac:dyDescent="0.3">
      <c r="D209" s="3">
        <v>21</v>
      </c>
      <c r="E209" s="9">
        <f t="shared" si="3"/>
        <v>46255</v>
      </c>
      <c r="F209" s="8"/>
      <c r="G209" s="8"/>
      <c r="H209" s="24"/>
      <c r="I209" s="7"/>
      <c r="J209" s="10"/>
    </row>
    <row r="210" spans="4:15" x14ac:dyDescent="0.3">
      <c r="D210" s="3">
        <v>21</v>
      </c>
      <c r="E210" s="9">
        <f t="shared" si="3"/>
        <v>46255</v>
      </c>
      <c r="F210" s="8"/>
      <c r="G210" s="8"/>
      <c r="H210" s="24"/>
      <c r="I210" s="7"/>
      <c r="J210" s="10"/>
    </row>
    <row r="211" spans="4:15" x14ac:dyDescent="0.3">
      <c r="D211" s="3">
        <v>21</v>
      </c>
      <c r="E211" s="9">
        <f t="shared" si="3"/>
        <v>46255</v>
      </c>
      <c r="F211" s="8"/>
      <c r="G211" s="8"/>
      <c r="H211" s="24"/>
      <c r="I211" s="7"/>
      <c r="J211" s="10"/>
    </row>
    <row r="212" spans="4:15" x14ac:dyDescent="0.3">
      <c r="D212" s="3">
        <v>21</v>
      </c>
      <c r="E212" s="19">
        <f t="shared" si="3"/>
        <v>46255</v>
      </c>
      <c r="F212" s="20"/>
      <c r="G212" s="20"/>
      <c r="H212" s="25"/>
      <c r="I212" s="21"/>
      <c r="J212" s="22"/>
    </row>
    <row r="213" spans="4:15" x14ac:dyDescent="0.3">
      <c r="D213" s="3">
        <v>22</v>
      </c>
      <c r="E213" s="15">
        <f t="shared" si="3"/>
        <v>46256</v>
      </c>
      <c r="F213" s="16"/>
      <c r="G213" s="16"/>
      <c r="H213" s="23"/>
      <c r="I213" s="17"/>
      <c r="J213" s="18"/>
    </row>
    <row r="214" spans="4:15" x14ac:dyDescent="0.3">
      <c r="D214" s="3">
        <v>22</v>
      </c>
      <c r="E214" s="9">
        <f t="shared" si="3"/>
        <v>46256</v>
      </c>
      <c r="F214" s="8"/>
      <c r="G214" s="8"/>
      <c r="H214" s="24"/>
      <c r="I214" s="7"/>
      <c r="J214" s="10"/>
    </row>
    <row r="215" spans="4:15" x14ac:dyDescent="0.3">
      <c r="D215" s="3">
        <v>22</v>
      </c>
      <c r="E215" s="9">
        <f t="shared" si="3"/>
        <v>46256</v>
      </c>
      <c r="F215" s="8"/>
      <c r="G215" s="8"/>
      <c r="H215" s="24"/>
      <c r="I215" s="7"/>
      <c r="J215" s="10"/>
    </row>
    <row r="216" spans="4:15" x14ac:dyDescent="0.3">
      <c r="D216" s="3">
        <v>22</v>
      </c>
      <c r="E216" s="9">
        <f t="shared" si="3"/>
        <v>46256</v>
      </c>
      <c r="F216" s="8"/>
      <c r="G216" s="8"/>
      <c r="H216" s="24"/>
      <c r="I216" s="7"/>
      <c r="J216" s="10"/>
      <c r="L216" s="36"/>
    </row>
    <row r="217" spans="4:15" x14ac:dyDescent="0.3">
      <c r="D217" s="3">
        <v>22</v>
      </c>
      <c r="E217" s="9">
        <f t="shared" si="3"/>
        <v>46256</v>
      </c>
      <c r="F217" s="8"/>
      <c r="G217" s="8"/>
      <c r="H217" s="24"/>
      <c r="I217" s="7"/>
      <c r="J217" s="10"/>
    </row>
    <row r="218" spans="4:15" x14ac:dyDescent="0.3">
      <c r="D218" s="3">
        <v>22</v>
      </c>
      <c r="E218" s="9">
        <f t="shared" si="3"/>
        <v>46256</v>
      </c>
      <c r="F218" s="8"/>
      <c r="G218" s="8"/>
      <c r="H218" s="24"/>
      <c r="I218" s="7"/>
      <c r="J218" s="10"/>
    </row>
    <row r="219" spans="4:15" x14ac:dyDescent="0.3">
      <c r="D219" s="3">
        <v>22</v>
      </c>
      <c r="E219" s="9">
        <f t="shared" si="3"/>
        <v>46256</v>
      </c>
      <c r="F219" s="8"/>
      <c r="G219" s="8"/>
      <c r="H219" s="24"/>
      <c r="I219" s="7"/>
      <c r="J219" s="10"/>
    </row>
    <row r="220" spans="4:15" x14ac:dyDescent="0.3">
      <c r="D220" s="3">
        <v>22</v>
      </c>
      <c r="E220" s="9">
        <f t="shared" si="3"/>
        <v>46256</v>
      </c>
      <c r="F220" s="8"/>
      <c r="G220" s="8"/>
      <c r="H220" s="24"/>
      <c r="I220" s="7"/>
      <c r="J220" s="10"/>
    </row>
    <row r="221" spans="4:15" x14ac:dyDescent="0.3">
      <c r="D221" s="3">
        <v>22</v>
      </c>
      <c r="E221" s="9">
        <f t="shared" si="3"/>
        <v>46256</v>
      </c>
      <c r="F221" s="8"/>
      <c r="G221" s="8"/>
      <c r="H221" s="24"/>
      <c r="I221" s="7"/>
      <c r="J221" s="10"/>
    </row>
    <row r="222" spans="4:15" x14ac:dyDescent="0.3">
      <c r="D222" s="3">
        <v>22</v>
      </c>
      <c r="E222" s="19">
        <f t="shared" si="3"/>
        <v>46256</v>
      </c>
      <c r="F222" s="20"/>
      <c r="G222" s="20"/>
      <c r="H222" s="25"/>
      <c r="I222" s="21"/>
      <c r="J222" s="22"/>
    </row>
    <row r="223" spans="4:15" x14ac:dyDescent="0.3">
      <c r="D223" s="3">
        <v>23</v>
      </c>
      <c r="E223" s="15">
        <f t="shared" si="3"/>
        <v>46257</v>
      </c>
      <c r="F223" s="16"/>
      <c r="G223" s="16"/>
      <c r="H223" s="23"/>
      <c r="I223" s="17"/>
      <c r="J223" s="18"/>
      <c r="L223" s="36"/>
      <c r="O223" s="36"/>
    </row>
    <row r="224" spans="4:15" x14ac:dyDescent="0.3">
      <c r="D224" s="3">
        <v>23</v>
      </c>
      <c r="E224" s="9">
        <f t="shared" si="3"/>
        <v>46257</v>
      </c>
      <c r="F224" s="8"/>
      <c r="G224" s="8"/>
      <c r="H224" s="24"/>
      <c r="I224" s="7"/>
      <c r="J224" s="10"/>
      <c r="O224" s="36"/>
    </row>
    <row r="225" spans="4:16" x14ac:dyDescent="0.3">
      <c r="D225" s="3">
        <v>23</v>
      </c>
      <c r="E225" s="9">
        <f t="shared" si="3"/>
        <v>46257</v>
      </c>
      <c r="F225" s="8"/>
      <c r="G225" s="8"/>
      <c r="H225" s="24"/>
      <c r="I225" s="7"/>
      <c r="J225" s="10"/>
    </row>
    <row r="226" spans="4:16" x14ac:dyDescent="0.3">
      <c r="D226" s="3">
        <v>23</v>
      </c>
      <c r="E226" s="9">
        <f t="shared" si="3"/>
        <v>46257</v>
      </c>
      <c r="F226" s="8"/>
      <c r="G226" s="8"/>
      <c r="H226" s="24"/>
      <c r="I226" s="7"/>
      <c r="J226" s="10"/>
    </row>
    <row r="227" spans="4:16" x14ac:dyDescent="0.3">
      <c r="D227" s="3">
        <v>23</v>
      </c>
      <c r="E227" s="9">
        <f t="shared" si="3"/>
        <v>46257</v>
      </c>
      <c r="F227" s="8"/>
      <c r="G227" s="8"/>
      <c r="H227" s="24"/>
      <c r="I227" s="7"/>
      <c r="J227" s="10"/>
    </row>
    <row r="228" spans="4:16" x14ac:dyDescent="0.3">
      <c r="D228" s="3">
        <v>23</v>
      </c>
      <c r="E228" s="9">
        <f t="shared" si="3"/>
        <v>46257</v>
      </c>
      <c r="F228" s="8"/>
      <c r="G228" s="8"/>
      <c r="H228" s="24"/>
      <c r="I228" s="7"/>
      <c r="J228" s="10"/>
    </row>
    <row r="229" spans="4:16" x14ac:dyDescent="0.3">
      <c r="D229" s="3">
        <v>23</v>
      </c>
      <c r="E229" s="9">
        <f t="shared" si="3"/>
        <v>46257</v>
      </c>
      <c r="F229" s="8"/>
      <c r="G229" s="8"/>
      <c r="H229" s="24"/>
      <c r="I229" s="7"/>
      <c r="J229" s="10"/>
    </row>
    <row r="230" spans="4:16" x14ac:dyDescent="0.3">
      <c r="D230" s="3">
        <v>23</v>
      </c>
      <c r="E230" s="9">
        <f t="shared" si="3"/>
        <v>46257</v>
      </c>
      <c r="F230" s="8"/>
      <c r="G230" s="8"/>
      <c r="H230" s="24"/>
      <c r="I230" s="7"/>
      <c r="J230" s="10"/>
    </row>
    <row r="231" spans="4:16" x14ac:dyDescent="0.3">
      <c r="D231" s="3">
        <v>23</v>
      </c>
      <c r="E231" s="9">
        <f t="shared" si="3"/>
        <v>46257</v>
      </c>
      <c r="F231" s="8"/>
      <c r="G231" s="8"/>
      <c r="H231" s="24"/>
      <c r="I231" s="7"/>
      <c r="J231" s="10"/>
    </row>
    <row r="232" spans="4:16" x14ac:dyDescent="0.3">
      <c r="D232" s="3">
        <v>23</v>
      </c>
      <c r="E232" s="9">
        <f t="shared" si="3"/>
        <v>46257</v>
      </c>
      <c r="F232" s="8"/>
      <c r="G232" s="8"/>
      <c r="H232" s="24"/>
      <c r="I232" s="7"/>
      <c r="J232" s="10"/>
    </row>
    <row r="233" spans="4:16" x14ac:dyDescent="0.3">
      <c r="D233" s="3">
        <v>23</v>
      </c>
      <c r="E233" s="9">
        <f t="shared" si="3"/>
        <v>46257</v>
      </c>
      <c r="F233" s="8"/>
      <c r="G233" s="8"/>
      <c r="H233" s="24"/>
      <c r="I233" s="7"/>
      <c r="J233" s="10"/>
    </row>
    <row r="234" spans="4:16" x14ac:dyDescent="0.3">
      <c r="D234" s="3">
        <v>23</v>
      </c>
      <c r="E234" s="19">
        <f t="shared" si="3"/>
        <v>46257</v>
      </c>
      <c r="F234" s="20"/>
      <c r="G234" s="20"/>
      <c r="H234" s="25"/>
      <c r="I234" s="21"/>
      <c r="J234" s="22"/>
    </row>
    <row r="235" spans="4:16" x14ac:dyDescent="0.3">
      <c r="D235" s="3">
        <v>24</v>
      </c>
      <c r="E235" s="15">
        <f t="shared" si="3"/>
        <v>46258</v>
      </c>
      <c r="F235" s="16"/>
      <c r="G235" s="16"/>
      <c r="H235" s="23"/>
      <c r="I235" s="17"/>
      <c r="J235" s="18"/>
      <c r="L235" s="36"/>
      <c r="O235" s="36"/>
      <c r="P235" s="36"/>
    </row>
    <row r="236" spans="4:16" x14ac:dyDescent="0.3">
      <c r="D236" s="3">
        <v>24</v>
      </c>
      <c r="E236" s="9">
        <f t="shared" si="3"/>
        <v>46258</v>
      </c>
      <c r="F236" s="8"/>
      <c r="G236" s="8"/>
      <c r="H236" s="24"/>
      <c r="I236" s="7"/>
      <c r="J236" s="10"/>
      <c r="O236" s="36"/>
      <c r="P236" s="36"/>
    </row>
    <row r="237" spans="4:16" x14ac:dyDescent="0.3">
      <c r="D237" s="3">
        <v>24</v>
      </c>
      <c r="E237" s="9">
        <f t="shared" si="3"/>
        <v>46258</v>
      </c>
      <c r="F237" s="8"/>
      <c r="G237" s="8"/>
      <c r="H237" s="24"/>
      <c r="I237" s="7"/>
      <c r="J237" s="10"/>
    </row>
    <row r="238" spans="4:16" x14ac:dyDescent="0.3">
      <c r="D238" s="3">
        <v>24</v>
      </c>
      <c r="E238" s="9">
        <f t="shared" si="3"/>
        <v>46258</v>
      </c>
      <c r="F238" s="8"/>
      <c r="G238" s="8"/>
      <c r="H238" s="24"/>
      <c r="I238" s="7"/>
      <c r="J238" s="10"/>
    </row>
    <row r="239" spans="4:16" x14ac:dyDescent="0.3">
      <c r="D239" s="3">
        <v>24</v>
      </c>
      <c r="E239" s="9">
        <f t="shared" si="3"/>
        <v>46258</v>
      </c>
      <c r="F239" s="8"/>
      <c r="G239" s="8"/>
      <c r="H239" s="24"/>
      <c r="I239" s="7"/>
      <c r="J239" s="10"/>
      <c r="P239" s="36"/>
    </row>
    <row r="240" spans="4:16" x14ac:dyDescent="0.3">
      <c r="D240" s="3">
        <v>24</v>
      </c>
      <c r="E240" s="9">
        <f t="shared" si="3"/>
        <v>46258</v>
      </c>
      <c r="F240" s="8"/>
      <c r="G240" s="8"/>
      <c r="H240" s="24"/>
      <c r="I240" s="7"/>
      <c r="J240" s="10"/>
    </row>
    <row r="241" spans="4:16" x14ac:dyDescent="0.3">
      <c r="D241" s="3">
        <v>24</v>
      </c>
      <c r="E241" s="9">
        <f t="shared" si="3"/>
        <v>46258</v>
      </c>
      <c r="F241" s="8"/>
      <c r="G241" s="8"/>
      <c r="H241" s="24"/>
      <c r="I241" s="7"/>
      <c r="J241" s="10"/>
      <c r="P241" s="36"/>
    </row>
    <row r="242" spans="4:16" x14ac:dyDescent="0.3">
      <c r="D242" s="3">
        <v>24</v>
      </c>
      <c r="E242" s="9">
        <f t="shared" si="3"/>
        <v>46258</v>
      </c>
      <c r="F242" s="8"/>
      <c r="G242" s="8"/>
      <c r="H242" s="24"/>
      <c r="I242" s="7"/>
      <c r="J242" s="10"/>
    </row>
    <row r="243" spans="4:16" x14ac:dyDescent="0.3">
      <c r="D243" s="3">
        <v>24</v>
      </c>
      <c r="E243" s="9">
        <f t="shared" si="3"/>
        <v>46258</v>
      </c>
      <c r="F243" s="8"/>
      <c r="G243" s="8"/>
      <c r="H243" s="24"/>
      <c r="I243" s="7"/>
      <c r="J243" s="10"/>
    </row>
    <row r="244" spans="4:16" x14ac:dyDescent="0.3">
      <c r="D244" s="3">
        <v>24</v>
      </c>
      <c r="E244" s="19">
        <f t="shared" si="3"/>
        <v>46258</v>
      </c>
      <c r="F244" s="20"/>
      <c r="G244" s="20"/>
      <c r="H244" s="25"/>
      <c r="I244" s="21"/>
      <c r="J244" s="22"/>
    </row>
    <row r="245" spans="4:16" x14ac:dyDescent="0.3">
      <c r="D245" s="3">
        <v>25</v>
      </c>
      <c r="E245" s="15">
        <f t="shared" si="3"/>
        <v>46259</v>
      </c>
      <c r="F245" s="16"/>
      <c r="G245" s="16"/>
      <c r="H245" s="23"/>
      <c r="I245" s="17"/>
      <c r="J245" s="18"/>
    </row>
    <row r="246" spans="4:16" x14ac:dyDescent="0.3">
      <c r="D246" s="3">
        <v>25</v>
      </c>
      <c r="E246" s="9">
        <f t="shared" si="3"/>
        <v>46259</v>
      </c>
      <c r="F246" s="8"/>
      <c r="G246" s="8"/>
      <c r="H246" s="24"/>
      <c r="I246" s="7"/>
      <c r="J246" s="10"/>
    </row>
    <row r="247" spans="4:16" x14ac:dyDescent="0.3">
      <c r="D247" s="3">
        <v>25</v>
      </c>
      <c r="E247" s="9">
        <f t="shared" si="3"/>
        <v>46259</v>
      </c>
      <c r="F247" s="8"/>
      <c r="G247" s="8"/>
      <c r="H247" s="24"/>
      <c r="I247" s="7"/>
      <c r="J247" s="10"/>
    </row>
    <row r="248" spans="4:16" x14ac:dyDescent="0.3">
      <c r="D248" s="3">
        <v>25</v>
      </c>
      <c r="E248" s="9">
        <f t="shared" si="3"/>
        <v>46259</v>
      </c>
      <c r="F248" s="8"/>
      <c r="G248" s="8"/>
      <c r="H248" s="24"/>
      <c r="I248" s="7"/>
      <c r="J248" s="10"/>
    </row>
    <row r="249" spans="4:16" x14ac:dyDescent="0.3">
      <c r="D249" s="3">
        <v>25</v>
      </c>
      <c r="E249" s="9">
        <f t="shared" si="3"/>
        <v>46259</v>
      </c>
      <c r="F249" s="8"/>
      <c r="G249" s="8"/>
      <c r="H249" s="24"/>
      <c r="I249" s="7"/>
      <c r="J249" s="10"/>
    </row>
    <row r="250" spans="4:16" x14ac:dyDescent="0.3">
      <c r="D250" s="3">
        <v>25</v>
      </c>
      <c r="E250" s="9">
        <f t="shared" si="3"/>
        <v>46259</v>
      </c>
      <c r="F250" s="8"/>
      <c r="G250" s="8"/>
      <c r="H250" s="24"/>
      <c r="I250" s="7"/>
      <c r="J250" s="10"/>
    </row>
    <row r="251" spans="4:16" x14ac:dyDescent="0.3">
      <c r="D251" s="3">
        <v>25</v>
      </c>
      <c r="E251" s="9">
        <f t="shared" si="3"/>
        <v>46259</v>
      </c>
      <c r="F251" s="8"/>
      <c r="G251" s="8"/>
      <c r="H251" s="24"/>
      <c r="I251" s="7"/>
      <c r="J251" s="10"/>
    </row>
    <row r="252" spans="4:16" x14ac:dyDescent="0.3">
      <c r="D252" s="3">
        <v>25</v>
      </c>
      <c r="E252" s="9">
        <f t="shared" si="3"/>
        <v>46259</v>
      </c>
      <c r="F252" s="8"/>
      <c r="G252" s="8"/>
      <c r="H252" s="24"/>
      <c r="I252" s="7"/>
      <c r="J252" s="10"/>
    </row>
    <row r="253" spans="4:16" x14ac:dyDescent="0.3">
      <c r="D253" s="3">
        <v>25</v>
      </c>
      <c r="E253" s="9">
        <f t="shared" si="3"/>
        <v>46259</v>
      </c>
      <c r="F253" s="8"/>
      <c r="G253" s="8"/>
      <c r="H253" s="24"/>
      <c r="I253" s="7"/>
      <c r="J253" s="10"/>
    </row>
    <row r="254" spans="4:16" x14ac:dyDescent="0.3">
      <c r="D254" s="3">
        <v>25</v>
      </c>
      <c r="E254" s="19">
        <f t="shared" si="3"/>
        <v>46259</v>
      </c>
      <c r="F254" s="20"/>
      <c r="G254" s="20"/>
      <c r="H254" s="25"/>
      <c r="I254" s="21"/>
      <c r="J254" s="22"/>
    </row>
    <row r="255" spans="4:16" x14ac:dyDescent="0.3">
      <c r="D255" s="3">
        <v>26</v>
      </c>
      <c r="E255" s="15">
        <f t="shared" si="3"/>
        <v>46260</v>
      </c>
      <c r="F255" s="16"/>
      <c r="G255" s="16"/>
      <c r="H255" s="23"/>
      <c r="I255" s="17"/>
      <c r="J255" s="18"/>
    </row>
    <row r="256" spans="4:16" x14ac:dyDescent="0.3">
      <c r="D256" s="3">
        <v>26</v>
      </c>
      <c r="E256" s="9">
        <f t="shared" si="3"/>
        <v>46260</v>
      </c>
      <c r="F256" s="8"/>
      <c r="G256" s="8"/>
      <c r="H256" s="24"/>
      <c r="I256" s="7"/>
      <c r="J256" s="10"/>
    </row>
    <row r="257" spans="4:10" x14ac:dyDescent="0.3">
      <c r="D257" s="3">
        <v>26</v>
      </c>
      <c r="E257" s="9">
        <f t="shared" si="3"/>
        <v>46260</v>
      </c>
      <c r="F257" s="8"/>
      <c r="G257" s="8"/>
      <c r="H257" s="24"/>
      <c r="I257" s="7"/>
      <c r="J257" s="10"/>
    </row>
    <row r="258" spans="4:10" x14ac:dyDescent="0.3">
      <c r="D258" s="3">
        <v>26</v>
      </c>
      <c r="E258" s="9">
        <f t="shared" si="3"/>
        <v>46260</v>
      </c>
      <c r="F258" s="8"/>
      <c r="G258" s="8"/>
      <c r="H258" s="24"/>
      <c r="I258" s="7"/>
      <c r="J258" s="10"/>
    </row>
    <row r="259" spans="4:10" x14ac:dyDescent="0.3">
      <c r="D259" s="3">
        <v>26</v>
      </c>
      <c r="E259" s="9">
        <f t="shared" si="3"/>
        <v>46260</v>
      </c>
      <c r="F259" s="8"/>
      <c r="G259" s="8"/>
      <c r="H259" s="24"/>
      <c r="I259" s="7"/>
      <c r="J259" s="10"/>
    </row>
    <row r="260" spans="4:10" x14ac:dyDescent="0.3">
      <c r="D260" s="3">
        <v>26</v>
      </c>
      <c r="E260" s="9">
        <f t="shared" si="3"/>
        <v>46260</v>
      </c>
      <c r="F260" s="8"/>
      <c r="G260" s="8"/>
      <c r="H260" s="24"/>
      <c r="I260" s="7"/>
      <c r="J260" s="10"/>
    </row>
    <row r="261" spans="4:10" x14ac:dyDescent="0.3">
      <c r="D261" s="3">
        <v>26</v>
      </c>
      <c r="E261" s="9">
        <f t="shared" si="3"/>
        <v>46260</v>
      </c>
      <c r="F261" s="8"/>
      <c r="G261" s="8"/>
      <c r="H261" s="24"/>
      <c r="I261" s="7"/>
      <c r="J261" s="10"/>
    </row>
    <row r="262" spans="4:10" x14ac:dyDescent="0.3">
      <c r="D262" s="3">
        <v>26</v>
      </c>
      <c r="E262" s="9">
        <f t="shared" ref="E262:E314" si="4">DATE($B$1,$B$2,$D262)</f>
        <v>46260</v>
      </c>
      <c r="F262" s="8"/>
      <c r="G262" s="8"/>
      <c r="H262" s="24"/>
      <c r="I262" s="7"/>
      <c r="J262" s="10"/>
    </row>
    <row r="263" spans="4:10" x14ac:dyDescent="0.3">
      <c r="D263" s="3">
        <v>26</v>
      </c>
      <c r="E263" s="9">
        <f t="shared" si="4"/>
        <v>46260</v>
      </c>
      <c r="F263" s="8"/>
      <c r="G263" s="8"/>
      <c r="H263" s="24"/>
      <c r="I263" s="7"/>
      <c r="J263" s="10"/>
    </row>
    <row r="264" spans="4:10" x14ac:dyDescent="0.3">
      <c r="D264" s="3">
        <v>26</v>
      </c>
      <c r="E264" s="19">
        <f t="shared" si="4"/>
        <v>46260</v>
      </c>
      <c r="F264" s="20"/>
      <c r="G264" s="20"/>
      <c r="H264" s="25"/>
      <c r="I264" s="21"/>
      <c r="J264" s="22"/>
    </row>
    <row r="265" spans="4:10" x14ac:dyDescent="0.3">
      <c r="D265" s="3">
        <v>27</v>
      </c>
      <c r="E265" s="15">
        <f t="shared" si="4"/>
        <v>46261</v>
      </c>
      <c r="F265" s="16"/>
      <c r="G265" s="16"/>
      <c r="H265" s="23"/>
      <c r="I265" s="17"/>
      <c r="J265" s="18"/>
    </row>
    <row r="266" spans="4:10" x14ac:dyDescent="0.3">
      <c r="D266" s="3">
        <v>27</v>
      </c>
      <c r="E266" s="9">
        <f t="shared" si="4"/>
        <v>46261</v>
      </c>
      <c r="F266" s="8"/>
      <c r="G266" s="8"/>
      <c r="H266" s="24"/>
      <c r="I266" s="7"/>
      <c r="J266" s="10"/>
    </row>
    <row r="267" spans="4:10" x14ac:dyDescent="0.3">
      <c r="D267" s="3">
        <v>27</v>
      </c>
      <c r="E267" s="9">
        <f t="shared" si="4"/>
        <v>46261</v>
      </c>
      <c r="F267" s="8"/>
      <c r="G267" s="8"/>
      <c r="H267" s="24"/>
      <c r="I267" s="7"/>
      <c r="J267" s="10"/>
    </row>
    <row r="268" spans="4:10" x14ac:dyDescent="0.3">
      <c r="D268" s="3">
        <v>27</v>
      </c>
      <c r="E268" s="9">
        <f t="shared" si="4"/>
        <v>46261</v>
      </c>
      <c r="F268" s="8"/>
      <c r="G268" s="8"/>
      <c r="H268" s="24"/>
      <c r="I268" s="7"/>
      <c r="J268" s="10"/>
    </row>
    <row r="269" spans="4:10" x14ac:dyDescent="0.3">
      <c r="D269" s="3">
        <v>27</v>
      </c>
      <c r="E269" s="9">
        <f t="shared" si="4"/>
        <v>46261</v>
      </c>
      <c r="F269" s="8"/>
      <c r="G269" s="8"/>
      <c r="H269" s="24"/>
      <c r="I269" s="7"/>
      <c r="J269" s="10"/>
    </row>
    <row r="270" spans="4:10" x14ac:dyDescent="0.3">
      <c r="D270" s="3">
        <v>27</v>
      </c>
      <c r="E270" s="9">
        <f t="shared" si="4"/>
        <v>46261</v>
      </c>
      <c r="F270" s="8"/>
      <c r="G270" s="8"/>
      <c r="H270" s="24"/>
      <c r="I270" s="7"/>
      <c r="J270" s="10"/>
    </row>
    <row r="271" spans="4:10" x14ac:dyDescent="0.3">
      <c r="D271" s="3">
        <v>27</v>
      </c>
      <c r="E271" s="9">
        <f t="shared" si="4"/>
        <v>46261</v>
      </c>
      <c r="F271" s="8"/>
      <c r="G271" s="8"/>
      <c r="H271" s="24"/>
      <c r="I271" s="7"/>
      <c r="J271" s="10"/>
    </row>
    <row r="272" spans="4:10" x14ac:dyDescent="0.3">
      <c r="D272" s="3">
        <v>27</v>
      </c>
      <c r="E272" s="9">
        <f t="shared" si="4"/>
        <v>46261</v>
      </c>
      <c r="F272" s="8"/>
      <c r="G272" s="8"/>
      <c r="H272" s="24"/>
      <c r="I272" s="7"/>
      <c r="J272" s="10"/>
    </row>
    <row r="273" spans="4:10" x14ac:dyDescent="0.3">
      <c r="D273" s="3">
        <v>27</v>
      </c>
      <c r="E273" s="9">
        <f t="shared" si="4"/>
        <v>46261</v>
      </c>
      <c r="F273" s="8"/>
      <c r="G273" s="8"/>
      <c r="H273" s="24"/>
      <c r="I273" s="7"/>
      <c r="J273" s="10"/>
    </row>
    <row r="274" spans="4:10" x14ac:dyDescent="0.3">
      <c r="D274" s="3">
        <v>27</v>
      </c>
      <c r="E274" s="19">
        <f t="shared" si="4"/>
        <v>46261</v>
      </c>
      <c r="F274" s="20"/>
      <c r="G274" s="20"/>
      <c r="H274" s="25"/>
      <c r="I274" s="21"/>
      <c r="J274" s="22"/>
    </row>
    <row r="275" spans="4:10" x14ac:dyDescent="0.3">
      <c r="D275" s="3">
        <v>28</v>
      </c>
      <c r="E275" s="15">
        <f t="shared" si="4"/>
        <v>46262</v>
      </c>
      <c r="F275" s="16"/>
      <c r="G275" s="16"/>
      <c r="H275" s="23"/>
      <c r="I275" s="17"/>
      <c r="J275" s="18"/>
    </row>
    <row r="276" spans="4:10" x14ac:dyDescent="0.3">
      <c r="D276" s="3">
        <v>28</v>
      </c>
      <c r="E276" s="9">
        <f t="shared" si="4"/>
        <v>46262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46262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46262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46262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46262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46262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9">
        <f t="shared" si="4"/>
        <v>46262</v>
      </c>
      <c r="F282" s="8"/>
      <c r="G282" s="8"/>
      <c r="H282" s="24"/>
      <c r="I282" s="7"/>
      <c r="J282" s="10"/>
    </row>
    <row r="283" spans="4:10" x14ac:dyDescent="0.3">
      <c r="D283" s="3">
        <v>28</v>
      </c>
      <c r="E283" s="9">
        <f t="shared" si="4"/>
        <v>46262</v>
      </c>
      <c r="F283" s="8"/>
      <c r="G283" s="8"/>
      <c r="H283" s="24"/>
      <c r="I283" s="7"/>
      <c r="J283" s="10"/>
    </row>
    <row r="284" spans="4:10" x14ac:dyDescent="0.3">
      <c r="D284" s="3">
        <v>28</v>
      </c>
      <c r="E284" s="19">
        <f t="shared" si="4"/>
        <v>46262</v>
      </c>
      <c r="F284" s="20"/>
      <c r="G284" s="20"/>
      <c r="H284" s="25"/>
      <c r="I284" s="21"/>
      <c r="J284" s="22"/>
    </row>
    <row r="285" spans="4:10" x14ac:dyDescent="0.3">
      <c r="D285" s="3">
        <v>29</v>
      </c>
      <c r="E285" s="15">
        <f t="shared" si="4"/>
        <v>46263</v>
      </c>
      <c r="F285" s="16"/>
      <c r="G285" s="16"/>
      <c r="H285" s="23"/>
      <c r="I285" s="17"/>
      <c r="J285" s="18"/>
    </row>
    <row r="286" spans="4:10" x14ac:dyDescent="0.3">
      <c r="D286" s="3">
        <v>29</v>
      </c>
      <c r="E286" s="9">
        <f t="shared" si="4"/>
        <v>46263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46263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46263</v>
      </c>
      <c r="F288" s="8"/>
      <c r="G288" s="8"/>
      <c r="H288" s="24"/>
      <c r="I288" s="7"/>
      <c r="J288" s="10"/>
    </row>
    <row r="289" spans="4:12" x14ac:dyDescent="0.3">
      <c r="D289" s="3">
        <v>29</v>
      </c>
      <c r="E289" s="9">
        <f t="shared" si="4"/>
        <v>46263</v>
      </c>
      <c r="F289" s="8"/>
      <c r="G289" s="8"/>
      <c r="H289" s="24"/>
      <c r="I289" s="7"/>
      <c r="J289" s="10"/>
    </row>
    <row r="290" spans="4:12" x14ac:dyDescent="0.3">
      <c r="D290" s="3">
        <v>29</v>
      </c>
      <c r="E290" s="9">
        <f t="shared" si="4"/>
        <v>46263</v>
      </c>
      <c r="F290" s="8"/>
      <c r="G290" s="8"/>
      <c r="H290" s="24"/>
      <c r="I290" s="7"/>
      <c r="J290" s="10"/>
    </row>
    <row r="291" spans="4:12" x14ac:dyDescent="0.3">
      <c r="D291" s="3">
        <v>29</v>
      </c>
      <c r="E291" s="9">
        <f t="shared" si="4"/>
        <v>46263</v>
      </c>
      <c r="F291" s="8"/>
      <c r="G291" s="8"/>
      <c r="H291" s="24"/>
      <c r="I291" s="7"/>
      <c r="J291" s="10"/>
    </row>
    <row r="292" spans="4:12" x14ac:dyDescent="0.3">
      <c r="D292" s="3">
        <v>29</v>
      </c>
      <c r="E292" s="9">
        <f t="shared" si="4"/>
        <v>46263</v>
      </c>
      <c r="F292" s="8"/>
      <c r="G292" s="8"/>
      <c r="H292" s="24"/>
      <c r="I292" s="7"/>
      <c r="J292" s="10"/>
    </row>
    <row r="293" spans="4:12" x14ac:dyDescent="0.3">
      <c r="D293" s="3">
        <v>29</v>
      </c>
      <c r="E293" s="9">
        <f t="shared" si="4"/>
        <v>46263</v>
      </c>
      <c r="F293" s="8"/>
      <c r="G293" s="8"/>
      <c r="H293" s="24"/>
      <c r="I293" s="7"/>
      <c r="J293" s="10"/>
    </row>
    <row r="294" spans="4:12" x14ac:dyDescent="0.3">
      <c r="D294" s="3">
        <v>29</v>
      </c>
      <c r="E294" s="19">
        <f t="shared" si="4"/>
        <v>46263</v>
      </c>
      <c r="F294" s="20"/>
      <c r="G294" s="20"/>
      <c r="H294" s="25"/>
      <c r="I294" s="21"/>
      <c r="J294" s="22"/>
    </row>
    <row r="295" spans="4:12" x14ac:dyDescent="0.3">
      <c r="D295" s="3">
        <v>30</v>
      </c>
      <c r="E295" s="15">
        <f t="shared" si="4"/>
        <v>46264</v>
      </c>
      <c r="F295" s="16"/>
      <c r="G295" s="16"/>
      <c r="H295" s="23"/>
      <c r="I295" s="17"/>
      <c r="J295" s="18"/>
      <c r="L295" s="36"/>
    </row>
    <row r="296" spans="4:12" x14ac:dyDescent="0.3">
      <c r="D296" s="3">
        <v>30</v>
      </c>
      <c r="E296" s="9">
        <f t="shared" si="4"/>
        <v>46264</v>
      </c>
      <c r="F296" s="8"/>
      <c r="G296" s="8"/>
      <c r="H296" s="24"/>
      <c r="I296" s="7"/>
      <c r="J296" s="10"/>
    </row>
    <row r="297" spans="4:12" x14ac:dyDescent="0.3">
      <c r="D297" s="3">
        <v>30</v>
      </c>
      <c r="E297" s="9">
        <f t="shared" si="4"/>
        <v>46264</v>
      </c>
      <c r="F297" s="8"/>
      <c r="G297" s="8"/>
      <c r="H297" s="24"/>
      <c r="I297" s="7"/>
      <c r="J297" s="10"/>
    </row>
    <row r="298" spans="4:12" x14ac:dyDescent="0.3">
      <c r="D298" s="3">
        <v>30</v>
      </c>
      <c r="E298" s="9">
        <f t="shared" si="4"/>
        <v>46264</v>
      </c>
      <c r="F298" s="8"/>
      <c r="G298" s="8"/>
      <c r="H298" s="24"/>
      <c r="I298" s="7"/>
      <c r="J298" s="10"/>
    </row>
    <row r="299" spans="4:12" x14ac:dyDescent="0.3">
      <c r="D299" s="3">
        <v>30</v>
      </c>
      <c r="E299" s="9">
        <f t="shared" si="4"/>
        <v>46264</v>
      </c>
      <c r="F299" s="8"/>
      <c r="G299" s="8"/>
      <c r="H299" s="24"/>
      <c r="I299" s="7"/>
      <c r="J299" s="10"/>
    </row>
    <row r="300" spans="4:12" x14ac:dyDescent="0.3">
      <c r="D300" s="3">
        <v>30</v>
      </c>
      <c r="E300" s="9">
        <f t="shared" si="4"/>
        <v>46264</v>
      </c>
      <c r="F300" s="8"/>
      <c r="G300" s="8"/>
      <c r="H300" s="24"/>
      <c r="I300" s="7"/>
      <c r="J300" s="10"/>
    </row>
    <row r="301" spans="4:12" x14ac:dyDescent="0.3">
      <c r="D301" s="3">
        <v>30</v>
      </c>
      <c r="E301" s="9">
        <f t="shared" si="4"/>
        <v>46264</v>
      </c>
      <c r="F301" s="8"/>
      <c r="G301" s="8"/>
      <c r="H301" s="24"/>
      <c r="I301" s="7"/>
      <c r="J301" s="10"/>
    </row>
    <row r="302" spans="4:12" x14ac:dyDescent="0.3">
      <c r="D302" s="3">
        <v>30</v>
      </c>
      <c r="E302" s="9">
        <f t="shared" si="4"/>
        <v>46264</v>
      </c>
      <c r="F302" s="8"/>
      <c r="G302" s="8"/>
      <c r="H302" s="24"/>
      <c r="I302" s="7"/>
      <c r="J302" s="10"/>
    </row>
    <row r="303" spans="4:12" x14ac:dyDescent="0.3">
      <c r="D303" s="3">
        <v>30</v>
      </c>
      <c r="E303" s="9">
        <f t="shared" si="4"/>
        <v>46264</v>
      </c>
      <c r="F303" s="8"/>
      <c r="G303" s="8"/>
      <c r="H303" s="24"/>
      <c r="I303" s="7"/>
      <c r="J303" s="10"/>
    </row>
    <row r="304" spans="4:12" x14ac:dyDescent="0.3">
      <c r="D304" s="3">
        <v>30</v>
      </c>
      <c r="E304" s="19">
        <f t="shared" si="4"/>
        <v>46264</v>
      </c>
      <c r="F304" s="20"/>
      <c r="G304" s="20"/>
      <c r="H304" s="25"/>
      <c r="I304" s="21"/>
      <c r="J304" s="22"/>
    </row>
    <row r="305" spans="4:10" x14ac:dyDescent="0.3">
      <c r="D305" s="3">
        <v>31</v>
      </c>
      <c r="E305" s="15">
        <f t="shared" si="4"/>
        <v>46265</v>
      </c>
      <c r="F305" s="16"/>
      <c r="G305" s="16"/>
      <c r="H305" s="23"/>
      <c r="I305" s="17"/>
      <c r="J305" s="18"/>
    </row>
    <row r="306" spans="4:10" x14ac:dyDescent="0.3">
      <c r="D306" s="3">
        <v>31</v>
      </c>
      <c r="E306" s="9">
        <f t="shared" si="4"/>
        <v>46265</v>
      </c>
      <c r="F306" s="8"/>
      <c r="G306" s="8"/>
      <c r="H306" s="24"/>
      <c r="I306" s="7"/>
      <c r="J306" s="10"/>
    </row>
    <row r="307" spans="4:10" x14ac:dyDescent="0.3">
      <c r="D307" s="3">
        <v>31</v>
      </c>
      <c r="E307" s="9">
        <f t="shared" si="4"/>
        <v>46265</v>
      </c>
      <c r="F307" s="8"/>
      <c r="G307" s="8"/>
      <c r="H307" s="24"/>
      <c r="I307" s="7"/>
      <c r="J307" s="10"/>
    </row>
    <row r="308" spans="4:10" x14ac:dyDescent="0.3">
      <c r="D308" s="3">
        <v>31</v>
      </c>
      <c r="E308" s="9">
        <f t="shared" si="4"/>
        <v>46265</v>
      </c>
      <c r="F308" s="8"/>
      <c r="G308" s="8"/>
      <c r="H308" s="24"/>
      <c r="I308" s="7"/>
      <c r="J308" s="10"/>
    </row>
    <row r="309" spans="4:10" x14ac:dyDescent="0.3">
      <c r="D309" s="3">
        <v>31</v>
      </c>
      <c r="E309" s="9">
        <f t="shared" si="4"/>
        <v>46265</v>
      </c>
      <c r="F309" s="8"/>
      <c r="G309" s="8"/>
      <c r="H309" s="24"/>
      <c r="I309" s="7"/>
      <c r="J309" s="10"/>
    </row>
    <row r="310" spans="4:10" x14ac:dyDescent="0.3">
      <c r="D310" s="3">
        <v>31</v>
      </c>
      <c r="E310" s="9">
        <f t="shared" si="4"/>
        <v>46265</v>
      </c>
      <c r="F310" s="8"/>
      <c r="G310" s="8"/>
      <c r="H310" s="24"/>
      <c r="I310" s="7"/>
      <c r="J310" s="10"/>
    </row>
    <row r="311" spans="4:10" x14ac:dyDescent="0.3">
      <c r="D311" s="3">
        <v>31</v>
      </c>
      <c r="E311" s="9">
        <f t="shared" si="4"/>
        <v>46265</v>
      </c>
      <c r="F311" s="8"/>
      <c r="G311" s="8"/>
      <c r="H311" s="24"/>
      <c r="I311" s="7"/>
      <c r="J311" s="10"/>
    </row>
    <row r="312" spans="4:10" x14ac:dyDescent="0.3">
      <c r="D312" s="3">
        <v>31</v>
      </c>
      <c r="E312" s="9">
        <f t="shared" si="4"/>
        <v>46265</v>
      </c>
      <c r="F312" s="8"/>
      <c r="G312" s="8"/>
      <c r="H312" s="24"/>
      <c r="I312" s="7"/>
      <c r="J312" s="10"/>
    </row>
    <row r="313" spans="4:10" x14ac:dyDescent="0.3">
      <c r="D313" s="3">
        <v>31</v>
      </c>
      <c r="E313" s="9">
        <f t="shared" si="4"/>
        <v>46265</v>
      </c>
      <c r="F313" s="8"/>
      <c r="G313" s="8"/>
      <c r="H313" s="24"/>
      <c r="I313" s="7"/>
      <c r="J313" s="10"/>
    </row>
    <row r="314" spans="4:10" ht="14.25" thickBot="1" x14ac:dyDescent="0.35">
      <c r="D314" s="3">
        <v>31</v>
      </c>
      <c r="E314" s="11">
        <f t="shared" si="4"/>
        <v>46265</v>
      </c>
      <c r="F314" s="12"/>
      <c r="G314" s="12"/>
      <c r="H314" s="26"/>
      <c r="I314" s="13"/>
      <c r="J314" s="14"/>
    </row>
    <row r="315" spans="4:10" x14ac:dyDescent="0.3">
      <c r="F315" s="6"/>
      <c r="G315" s="6"/>
    </row>
    <row r="316" spans="4:10" x14ac:dyDescent="0.3">
      <c r="F316" s="6"/>
      <c r="G316" s="6"/>
    </row>
    <row r="317" spans="4:10" x14ac:dyDescent="0.3">
      <c r="F317" s="6"/>
      <c r="G317" s="6"/>
    </row>
    <row r="318" spans="4:10" x14ac:dyDescent="0.3">
      <c r="F318" s="6"/>
      <c r="G318" s="6"/>
    </row>
    <row r="319" spans="4:10" x14ac:dyDescent="0.3">
      <c r="F319" s="6"/>
      <c r="G319" s="6"/>
    </row>
    <row r="320" spans="4:10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  <row r="331" spans="6:7" x14ac:dyDescent="0.3">
      <c r="F331" s="6"/>
      <c r="G331" s="6"/>
    </row>
    <row r="332" spans="6:7" x14ac:dyDescent="0.3">
      <c r="F332" s="6"/>
      <c r="G332" s="6"/>
    </row>
    <row r="333" spans="6:7" x14ac:dyDescent="0.3">
      <c r="F333" s="6"/>
      <c r="G333" s="6"/>
    </row>
    <row r="334" spans="6:7" x14ac:dyDescent="0.3">
      <c r="F334" s="6"/>
      <c r="G334" s="6"/>
    </row>
    <row r="335" spans="6:7" x14ac:dyDescent="0.3">
      <c r="F335" s="6"/>
      <c r="G335" s="6"/>
    </row>
    <row r="336" spans="6:7" x14ac:dyDescent="0.3">
      <c r="F336" s="6"/>
      <c r="G336" s="6"/>
    </row>
    <row r="337" spans="6:7" x14ac:dyDescent="0.3">
      <c r="F337" s="6"/>
      <c r="G337" s="6"/>
    </row>
    <row r="338" spans="6:7" x14ac:dyDescent="0.3">
      <c r="F338" s="6"/>
      <c r="G338" s="6"/>
    </row>
    <row r="339" spans="6:7" x14ac:dyDescent="0.3">
      <c r="F339" s="6"/>
      <c r="G339" s="6"/>
    </row>
    <row r="340" spans="6:7" x14ac:dyDescent="0.3">
      <c r="F340" s="6"/>
      <c r="G340" s="6"/>
    </row>
    <row r="341" spans="6:7" x14ac:dyDescent="0.3">
      <c r="F341" s="6"/>
      <c r="G341" s="6"/>
    </row>
    <row r="342" spans="6:7" x14ac:dyDescent="0.3">
      <c r="F342" s="6"/>
      <c r="G342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참조!$G$2:$G$3</xm:f>
          </x14:formula1>
          <xm:sqref>G315:G342</xm:sqref>
        </x14:dataValidation>
        <x14:dataValidation type="list" allowBlank="1" showInputMessage="1" showErrorMessage="1">
          <x14:formula1>
            <xm:f>참조!$F$2:$F$3</xm:f>
          </x14:formula1>
          <xm:sqref>F3:F342</xm:sqref>
        </x14:dataValidation>
        <x14:dataValidation type="list" allowBlank="1" showInputMessage="1" showErrorMessage="1">
          <x14:formula1>
            <xm:f>참조!$G:$G</xm:f>
          </x14:formula1>
          <xm:sqref>G3:G314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0"/>
  <sheetViews>
    <sheetView workbookViewId="0">
      <pane ySplit="2" topLeftCell="A3" activePane="bottomLeft" state="frozen"/>
      <selection activeCell="F17" sqref="F17"/>
      <selection pane="bottomLeft" activeCell="C3" sqref="C3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f>'2026년달력'!A1</f>
        <v>2026</v>
      </c>
    </row>
    <row r="2" spans="1:10" ht="14.25" thickBot="1" x14ac:dyDescent="0.35">
      <c r="A2" s="3" t="s">
        <v>1</v>
      </c>
      <c r="B2" s="3">
        <v>9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46266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46266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46266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46266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46266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46266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46266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46266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46266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46266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46267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46267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46267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46267</v>
      </c>
      <c r="F16" s="8"/>
      <c r="G16" s="8"/>
      <c r="H16" s="24"/>
      <c r="I16" s="7"/>
      <c r="J16" s="10"/>
    </row>
    <row r="17" spans="4:12" x14ac:dyDescent="0.3">
      <c r="D17" s="3">
        <v>2</v>
      </c>
      <c r="E17" s="9">
        <f t="shared" si="0"/>
        <v>46267</v>
      </c>
      <c r="F17" s="8"/>
      <c r="G17" s="8"/>
      <c r="H17" s="24"/>
      <c r="I17" s="7"/>
      <c r="J17" s="10"/>
      <c r="L17" s="36"/>
    </row>
    <row r="18" spans="4:12" x14ac:dyDescent="0.3">
      <c r="D18" s="3">
        <v>2</v>
      </c>
      <c r="E18" s="9">
        <f t="shared" si="0"/>
        <v>46267</v>
      </c>
      <c r="F18" s="8"/>
      <c r="G18" s="8"/>
      <c r="H18" s="24"/>
      <c r="I18" s="7"/>
      <c r="J18" s="10"/>
    </row>
    <row r="19" spans="4:12" x14ac:dyDescent="0.3">
      <c r="D19" s="3">
        <v>2</v>
      </c>
      <c r="E19" s="9">
        <f t="shared" si="0"/>
        <v>46267</v>
      </c>
      <c r="F19" s="8"/>
      <c r="G19" s="8"/>
      <c r="H19" s="24"/>
      <c r="I19" s="7"/>
      <c r="J19" s="10"/>
    </row>
    <row r="20" spans="4:12" x14ac:dyDescent="0.3">
      <c r="D20" s="3">
        <v>2</v>
      </c>
      <c r="E20" s="9">
        <f t="shared" si="0"/>
        <v>46267</v>
      </c>
      <c r="F20" s="8"/>
      <c r="G20" s="8"/>
      <c r="H20" s="24"/>
      <c r="I20" s="7"/>
      <c r="J20" s="10"/>
    </row>
    <row r="21" spans="4:12" x14ac:dyDescent="0.3">
      <c r="D21" s="3">
        <v>2</v>
      </c>
      <c r="E21" s="9">
        <f t="shared" si="0"/>
        <v>46267</v>
      </c>
      <c r="F21" s="8"/>
      <c r="G21" s="8"/>
      <c r="H21" s="24"/>
      <c r="I21" s="7"/>
      <c r="J21" s="10"/>
    </row>
    <row r="22" spans="4:12" x14ac:dyDescent="0.3">
      <c r="D22" s="3">
        <v>2</v>
      </c>
      <c r="E22" s="19">
        <f t="shared" si="0"/>
        <v>46267</v>
      </c>
      <c r="F22" s="20"/>
      <c r="G22" s="20"/>
      <c r="H22" s="25"/>
      <c r="I22" s="21"/>
      <c r="J22" s="22"/>
    </row>
    <row r="23" spans="4:12" x14ac:dyDescent="0.3">
      <c r="D23" s="3">
        <v>3</v>
      </c>
      <c r="E23" s="15">
        <f t="shared" si="0"/>
        <v>46268</v>
      </c>
      <c r="F23" s="16"/>
      <c r="G23" s="16"/>
      <c r="H23" s="23"/>
      <c r="I23" s="17"/>
      <c r="J23" s="18"/>
    </row>
    <row r="24" spans="4:12" x14ac:dyDescent="0.3">
      <c r="D24" s="3">
        <v>3</v>
      </c>
      <c r="E24" s="9">
        <f t="shared" si="0"/>
        <v>46268</v>
      </c>
      <c r="F24" s="8"/>
      <c r="G24" s="8"/>
      <c r="H24" s="24"/>
      <c r="I24" s="7"/>
      <c r="J24" s="10"/>
    </row>
    <row r="25" spans="4:12" x14ac:dyDescent="0.3">
      <c r="D25" s="3">
        <v>3</v>
      </c>
      <c r="E25" s="9">
        <f t="shared" si="0"/>
        <v>46268</v>
      </c>
      <c r="F25" s="8"/>
      <c r="G25" s="8"/>
      <c r="H25" s="24"/>
      <c r="I25" s="7"/>
      <c r="J25" s="10"/>
    </row>
    <row r="26" spans="4:12" x14ac:dyDescent="0.3">
      <c r="D26" s="3">
        <v>3</v>
      </c>
      <c r="E26" s="9">
        <f t="shared" si="0"/>
        <v>46268</v>
      </c>
      <c r="F26" s="8"/>
      <c r="G26" s="8"/>
      <c r="H26" s="24"/>
      <c r="I26" s="7"/>
      <c r="J26" s="10"/>
    </row>
    <row r="27" spans="4:12" x14ac:dyDescent="0.3">
      <c r="D27" s="3">
        <v>3</v>
      </c>
      <c r="E27" s="9">
        <f t="shared" si="0"/>
        <v>46268</v>
      </c>
      <c r="F27" s="8"/>
      <c r="G27" s="8"/>
      <c r="H27" s="24"/>
      <c r="I27" s="7"/>
      <c r="J27" s="10"/>
    </row>
    <row r="28" spans="4:12" x14ac:dyDescent="0.3">
      <c r="D28" s="3">
        <v>3</v>
      </c>
      <c r="E28" s="9">
        <f t="shared" si="0"/>
        <v>46268</v>
      </c>
      <c r="F28" s="8"/>
      <c r="G28" s="8"/>
      <c r="H28" s="24"/>
      <c r="I28" s="7"/>
      <c r="J28" s="10"/>
    </row>
    <row r="29" spans="4:12" x14ac:dyDescent="0.3">
      <c r="D29" s="3">
        <v>3</v>
      </c>
      <c r="E29" s="9">
        <f t="shared" si="0"/>
        <v>46268</v>
      </c>
      <c r="F29" s="8"/>
      <c r="G29" s="8"/>
      <c r="H29" s="24"/>
      <c r="I29" s="7"/>
      <c r="J29" s="10"/>
    </row>
    <row r="30" spans="4:12" x14ac:dyDescent="0.3">
      <c r="D30" s="3">
        <v>3</v>
      </c>
      <c r="E30" s="9">
        <f t="shared" si="0"/>
        <v>46268</v>
      </c>
      <c r="F30" s="8"/>
      <c r="G30" s="8"/>
      <c r="H30" s="24"/>
      <c r="I30" s="7"/>
      <c r="J30" s="10"/>
    </row>
    <row r="31" spans="4:12" x14ac:dyDescent="0.3">
      <c r="D31" s="3">
        <v>3</v>
      </c>
      <c r="E31" s="9">
        <f t="shared" si="0"/>
        <v>46268</v>
      </c>
      <c r="F31" s="8"/>
      <c r="G31" s="8"/>
      <c r="H31" s="24"/>
      <c r="I31" s="7"/>
      <c r="J31" s="10"/>
    </row>
    <row r="32" spans="4:12" x14ac:dyDescent="0.3">
      <c r="D32" s="3">
        <v>3</v>
      </c>
      <c r="E32" s="19">
        <f t="shared" si="0"/>
        <v>46268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46269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46269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46269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46269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46269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46269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46269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46269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46269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46269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46270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46270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46270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46270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46270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46270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46270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46270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46270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46270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46271</v>
      </c>
      <c r="F53" s="16"/>
      <c r="G53" s="16"/>
      <c r="H53" s="23"/>
      <c r="I53" s="38"/>
      <c r="J53" s="18"/>
    </row>
    <row r="54" spans="4:10" x14ac:dyDescent="0.3">
      <c r="D54" s="3">
        <v>6</v>
      </c>
      <c r="E54" s="9">
        <f t="shared" si="0"/>
        <v>46271</v>
      </c>
      <c r="F54" s="8"/>
      <c r="G54" s="8"/>
      <c r="H54" s="24"/>
      <c r="I54" s="39"/>
      <c r="J54" s="10"/>
    </row>
    <row r="55" spans="4:10" x14ac:dyDescent="0.3">
      <c r="D55" s="3">
        <v>6</v>
      </c>
      <c r="E55" s="9">
        <f t="shared" si="0"/>
        <v>46271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46271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46271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46271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46271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46271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46271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46271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46272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46272</v>
      </c>
      <c r="F64" s="8"/>
      <c r="G64" s="8"/>
      <c r="H64" s="24"/>
      <c r="I64" s="7"/>
      <c r="J64" s="10"/>
    </row>
    <row r="65" spans="4:12" x14ac:dyDescent="0.3">
      <c r="D65" s="3">
        <v>7</v>
      </c>
      <c r="E65" s="9">
        <f t="shared" si="0"/>
        <v>46272</v>
      </c>
      <c r="F65" s="8"/>
      <c r="G65" s="8"/>
      <c r="H65" s="24"/>
      <c r="I65" s="7"/>
      <c r="J65" s="10"/>
    </row>
    <row r="66" spans="4:12" x14ac:dyDescent="0.3">
      <c r="D66" s="3">
        <v>7</v>
      </c>
      <c r="E66" s="9">
        <f t="shared" si="0"/>
        <v>46272</v>
      </c>
      <c r="F66" s="8"/>
      <c r="G66" s="8"/>
      <c r="H66" s="24"/>
      <c r="I66" s="7"/>
      <c r="J66" s="10"/>
      <c r="L66" s="36"/>
    </row>
    <row r="67" spans="4:12" x14ac:dyDescent="0.3">
      <c r="D67" s="3">
        <v>7</v>
      </c>
      <c r="E67" s="9">
        <f t="shared" si="0"/>
        <v>46272</v>
      </c>
      <c r="F67" s="8"/>
      <c r="G67" s="8"/>
      <c r="H67" s="24"/>
      <c r="I67" s="7"/>
      <c r="J67" s="10"/>
    </row>
    <row r="68" spans="4:12" x14ac:dyDescent="0.3">
      <c r="D68" s="3">
        <v>7</v>
      </c>
      <c r="E68" s="9">
        <f t="shared" ref="E68:E131" si="1">DATE($B$1,$B$2,$D68)</f>
        <v>46272</v>
      </c>
      <c r="F68" s="8"/>
      <c r="G68" s="8"/>
      <c r="H68" s="24"/>
      <c r="I68" s="7"/>
      <c r="J68" s="10"/>
    </row>
    <row r="69" spans="4:12" x14ac:dyDescent="0.3">
      <c r="D69" s="3">
        <v>7</v>
      </c>
      <c r="E69" s="9">
        <f t="shared" si="1"/>
        <v>46272</v>
      </c>
      <c r="F69" s="8"/>
      <c r="G69" s="8"/>
      <c r="H69" s="24"/>
      <c r="I69" s="7"/>
      <c r="J69" s="10"/>
    </row>
    <row r="70" spans="4:12" x14ac:dyDescent="0.3">
      <c r="D70" s="3">
        <v>7</v>
      </c>
      <c r="E70" s="9">
        <f t="shared" si="1"/>
        <v>46272</v>
      </c>
      <c r="F70" s="8"/>
      <c r="G70" s="8"/>
      <c r="H70" s="24"/>
      <c r="I70" s="7"/>
      <c r="J70" s="10"/>
    </row>
    <row r="71" spans="4:12" x14ac:dyDescent="0.3">
      <c r="D71" s="3">
        <v>7</v>
      </c>
      <c r="E71" s="9">
        <f t="shared" si="1"/>
        <v>46272</v>
      </c>
      <c r="F71" s="8"/>
      <c r="G71" s="8"/>
      <c r="H71" s="24"/>
      <c r="I71" s="7"/>
      <c r="J71" s="10"/>
    </row>
    <row r="72" spans="4:12" x14ac:dyDescent="0.3">
      <c r="D72" s="3">
        <v>7</v>
      </c>
      <c r="E72" s="19">
        <f t="shared" si="1"/>
        <v>46272</v>
      </c>
      <c r="F72" s="20"/>
      <c r="G72" s="20"/>
      <c r="H72" s="25"/>
      <c r="I72" s="21"/>
      <c r="J72" s="22"/>
    </row>
    <row r="73" spans="4:12" x14ac:dyDescent="0.3">
      <c r="D73" s="3">
        <v>8</v>
      </c>
      <c r="E73" s="15">
        <f t="shared" si="1"/>
        <v>46273</v>
      </c>
      <c r="F73" s="16"/>
      <c r="G73" s="16"/>
      <c r="H73" s="23"/>
      <c r="I73" s="17"/>
      <c r="J73" s="18"/>
    </row>
    <row r="74" spans="4:12" x14ac:dyDescent="0.3">
      <c r="D74" s="3">
        <v>8</v>
      </c>
      <c r="E74" s="9">
        <f t="shared" si="1"/>
        <v>46273</v>
      </c>
      <c r="F74" s="8"/>
      <c r="G74" s="8"/>
      <c r="H74" s="24"/>
      <c r="I74" s="7"/>
      <c r="J74" s="10"/>
    </row>
    <row r="75" spans="4:12" x14ac:dyDescent="0.3">
      <c r="D75" s="3">
        <v>8</v>
      </c>
      <c r="E75" s="9">
        <f t="shared" si="1"/>
        <v>46273</v>
      </c>
      <c r="F75" s="8"/>
      <c r="G75" s="8"/>
      <c r="H75" s="24"/>
      <c r="I75" s="7"/>
      <c r="J75" s="10"/>
    </row>
    <row r="76" spans="4:12" x14ac:dyDescent="0.3">
      <c r="D76" s="3">
        <v>8</v>
      </c>
      <c r="E76" s="9">
        <f t="shared" si="1"/>
        <v>46273</v>
      </c>
      <c r="F76" s="8"/>
      <c r="G76" s="8"/>
      <c r="H76" s="24"/>
      <c r="I76" s="7"/>
      <c r="J76" s="10"/>
    </row>
    <row r="77" spans="4:12" x14ac:dyDescent="0.3">
      <c r="D77" s="3">
        <v>8</v>
      </c>
      <c r="E77" s="9">
        <f t="shared" si="1"/>
        <v>46273</v>
      </c>
      <c r="F77" s="8"/>
      <c r="G77" s="8"/>
      <c r="H77" s="24"/>
      <c r="I77" s="7"/>
      <c r="J77" s="10"/>
    </row>
    <row r="78" spans="4:12" x14ac:dyDescent="0.3">
      <c r="D78" s="3">
        <v>8</v>
      </c>
      <c r="E78" s="9">
        <f t="shared" si="1"/>
        <v>46273</v>
      </c>
      <c r="F78" s="8"/>
      <c r="G78" s="8"/>
      <c r="H78" s="24"/>
      <c r="I78" s="7"/>
      <c r="J78" s="10"/>
    </row>
    <row r="79" spans="4:12" x14ac:dyDescent="0.3">
      <c r="D79" s="3">
        <v>8</v>
      </c>
      <c r="E79" s="9">
        <f t="shared" si="1"/>
        <v>46273</v>
      </c>
      <c r="F79" s="8"/>
      <c r="G79" s="8"/>
      <c r="H79" s="24"/>
      <c r="I79" s="7"/>
      <c r="J79" s="10"/>
    </row>
    <row r="80" spans="4:12" x14ac:dyDescent="0.3">
      <c r="D80" s="3">
        <v>8</v>
      </c>
      <c r="E80" s="9">
        <f t="shared" si="1"/>
        <v>46273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46273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46273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46274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46274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46274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46274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46274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46274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46274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46274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46274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46274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46275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46275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46275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46275</v>
      </c>
      <c r="F96" s="8"/>
      <c r="G96" s="8"/>
      <c r="H96" s="24"/>
      <c r="I96" s="7"/>
      <c r="J96" s="10"/>
    </row>
    <row r="97" spans="4:10" x14ac:dyDescent="0.3">
      <c r="D97" s="3">
        <v>10</v>
      </c>
      <c r="E97" s="9">
        <f t="shared" si="1"/>
        <v>46275</v>
      </c>
      <c r="F97" s="8"/>
      <c r="G97" s="8"/>
      <c r="H97" s="24"/>
      <c r="I97" s="7"/>
      <c r="J97" s="10"/>
    </row>
    <row r="98" spans="4:10" x14ac:dyDescent="0.3">
      <c r="D98" s="3">
        <v>10</v>
      </c>
      <c r="E98" s="9">
        <f t="shared" si="1"/>
        <v>46275</v>
      </c>
      <c r="F98" s="8"/>
      <c r="G98" s="8"/>
      <c r="H98" s="24"/>
      <c r="I98" s="7"/>
      <c r="J98" s="10"/>
    </row>
    <row r="99" spans="4:10" x14ac:dyDescent="0.3">
      <c r="D99" s="3">
        <v>10</v>
      </c>
      <c r="E99" s="9">
        <f t="shared" si="1"/>
        <v>46275</v>
      </c>
      <c r="F99" s="8"/>
      <c r="G99" s="8"/>
      <c r="H99" s="24"/>
      <c r="I99" s="7"/>
      <c r="J99" s="10"/>
    </row>
    <row r="100" spans="4:10" x14ac:dyDescent="0.3">
      <c r="D100" s="3">
        <v>10</v>
      </c>
      <c r="E100" s="9">
        <f t="shared" si="1"/>
        <v>46275</v>
      </c>
      <c r="F100" s="8"/>
      <c r="G100" s="8"/>
      <c r="H100" s="24"/>
      <c r="I100" s="7"/>
      <c r="J100" s="10"/>
    </row>
    <row r="101" spans="4:10" x14ac:dyDescent="0.3">
      <c r="D101" s="3">
        <v>10</v>
      </c>
      <c r="E101" s="9">
        <f t="shared" si="1"/>
        <v>46275</v>
      </c>
      <c r="F101" s="8"/>
      <c r="G101" s="8"/>
      <c r="H101" s="24"/>
      <c r="I101" s="7"/>
      <c r="J101" s="10"/>
    </row>
    <row r="102" spans="4:10" x14ac:dyDescent="0.3">
      <c r="D102" s="3">
        <v>10</v>
      </c>
      <c r="E102" s="19">
        <f t="shared" si="1"/>
        <v>46275</v>
      </c>
      <c r="F102" s="20"/>
      <c r="G102" s="20"/>
      <c r="H102" s="25"/>
      <c r="I102" s="21"/>
      <c r="J102" s="22"/>
    </row>
    <row r="103" spans="4:10" x14ac:dyDescent="0.3">
      <c r="D103" s="3">
        <v>11</v>
      </c>
      <c r="E103" s="15">
        <f t="shared" si="1"/>
        <v>46276</v>
      </c>
      <c r="F103" s="16"/>
      <c r="G103" s="16"/>
      <c r="H103" s="23"/>
      <c r="I103" s="17"/>
      <c r="J103" s="18"/>
    </row>
    <row r="104" spans="4:10" x14ac:dyDescent="0.3">
      <c r="D104" s="3">
        <v>11</v>
      </c>
      <c r="E104" s="9">
        <f t="shared" si="1"/>
        <v>46276</v>
      </c>
      <c r="F104" s="8"/>
      <c r="G104" s="8"/>
      <c r="H104" s="24"/>
      <c r="I104" s="7"/>
      <c r="J104" s="10"/>
    </row>
    <row r="105" spans="4:10" x14ac:dyDescent="0.3">
      <c r="D105" s="3">
        <v>11</v>
      </c>
      <c r="E105" s="9">
        <f t="shared" si="1"/>
        <v>46276</v>
      </c>
      <c r="F105" s="8"/>
      <c r="G105" s="8"/>
      <c r="H105" s="24"/>
      <c r="I105" s="7"/>
      <c r="J105" s="10"/>
    </row>
    <row r="106" spans="4:10" x14ac:dyDescent="0.3">
      <c r="D106" s="3">
        <v>11</v>
      </c>
      <c r="E106" s="9">
        <f t="shared" si="1"/>
        <v>46276</v>
      </c>
      <c r="F106" s="8"/>
      <c r="G106" s="8"/>
      <c r="H106" s="24"/>
      <c r="I106" s="7"/>
      <c r="J106" s="10"/>
    </row>
    <row r="107" spans="4:10" x14ac:dyDescent="0.3">
      <c r="D107" s="3">
        <v>11</v>
      </c>
      <c r="E107" s="9">
        <f t="shared" si="1"/>
        <v>46276</v>
      </c>
      <c r="F107" s="8"/>
      <c r="G107" s="8"/>
      <c r="H107" s="24"/>
      <c r="I107" s="7"/>
      <c r="J107" s="10"/>
    </row>
    <row r="108" spans="4:10" x14ac:dyDescent="0.3">
      <c r="D108" s="3">
        <v>11</v>
      </c>
      <c r="E108" s="9">
        <f t="shared" si="1"/>
        <v>46276</v>
      </c>
      <c r="F108" s="8"/>
      <c r="G108" s="8"/>
      <c r="H108" s="24"/>
      <c r="I108" s="7"/>
      <c r="J108" s="10"/>
    </row>
    <row r="109" spans="4:10" x14ac:dyDescent="0.3">
      <c r="D109" s="3">
        <v>11</v>
      </c>
      <c r="E109" s="9">
        <f t="shared" si="1"/>
        <v>46276</v>
      </c>
      <c r="F109" s="8"/>
      <c r="G109" s="8"/>
      <c r="H109" s="24"/>
      <c r="I109" s="7"/>
      <c r="J109" s="10"/>
    </row>
    <row r="110" spans="4:10" x14ac:dyDescent="0.3">
      <c r="D110" s="3">
        <v>11</v>
      </c>
      <c r="E110" s="9">
        <f t="shared" si="1"/>
        <v>46276</v>
      </c>
      <c r="F110" s="8"/>
      <c r="G110" s="8"/>
      <c r="H110" s="24"/>
      <c r="I110" s="7"/>
      <c r="J110" s="10"/>
    </row>
    <row r="111" spans="4:10" x14ac:dyDescent="0.3">
      <c r="D111" s="3">
        <v>11</v>
      </c>
      <c r="E111" s="9">
        <f t="shared" si="1"/>
        <v>46276</v>
      </c>
      <c r="F111" s="8"/>
      <c r="G111" s="8"/>
      <c r="H111" s="24"/>
      <c r="I111" s="7"/>
      <c r="J111" s="10"/>
    </row>
    <row r="112" spans="4:10" x14ac:dyDescent="0.3">
      <c r="D112" s="3">
        <v>11</v>
      </c>
      <c r="E112" s="19">
        <f t="shared" si="1"/>
        <v>46276</v>
      </c>
      <c r="F112" s="20"/>
      <c r="G112" s="20"/>
      <c r="H112" s="25"/>
      <c r="I112" s="21"/>
      <c r="J112" s="22"/>
    </row>
    <row r="113" spans="4:10" x14ac:dyDescent="0.3">
      <c r="D113" s="3">
        <v>12</v>
      </c>
      <c r="E113" s="15">
        <f t="shared" si="1"/>
        <v>46277</v>
      </c>
      <c r="F113" s="16"/>
      <c r="G113" s="16"/>
      <c r="H113" s="23"/>
      <c r="I113" s="17"/>
      <c r="J113" s="18"/>
    </row>
    <row r="114" spans="4:10" x14ac:dyDescent="0.3">
      <c r="D114" s="3">
        <v>12</v>
      </c>
      <c r="E114" s="9">
        <f t="shared" si="1"/>
        <v>46277</v>
      </c>
      <c r="F114" s="8"/>
      <c r="G114" s="8"/>
      <c r="H114" s="24"/>
      <c r="I114" s="7"/>
      <c r="J114" s="10"/>
    </row>
    <row r="115" spans="4:10" x14ac:dyDescent="0.3">
      <c r="D115" s="3">
        <v>12</v>
      </c>
      <c r="E115" s="9">
        <f t="shared" si="1"/>
        <v>46277</v>
      </c>
      <c r="F115" s="8"/>
      <c r="G115" s="8"/>
      <c r="H115" s="24"/>
      <c r="I115" s="7"/>
      <c r="J115" s="10"/>
    </row>
    <row r="116" spans="4:10" x14ac:dyDescent="0.3">
      <c r="D116" s="3">
        <v>12</v>
      </c>
      <c r="E116" s="9">
        <f t="shared" si="1"/>
        <v>46277</v>
      </c>
      <c r="F116" s="8"/>
      <c r="G116" s="8"/>
      <c r="H116" s="24"/>
      <c r="I116" s="7"/>
      <c r="J116" s="10"/>
    </row>
    <row r="117" spans="4:10" x14ac:dyDescent="0.3">
      <c r="D117" s="3">
        <v>12</v>
      </c>
      <c r="E117" s="9">
        <f t="shared" si="1"/>
        <v>46277</v>
      </c>
      <c r="F117" s="8"/>
      <c r="G117" s="8"/>
      <c r="H117" s="24"/>
      <c r="I117" s="7"/>
      <c r="J117" s="10"/>
    </row>
    <row r="118" spans="4:10" x14ac:dyDescent="0.3">
      <c r="D118" s="3">
        <v>12</v>
      </c>
      <c r="E118" s="9">
        <f t="shared" si="1"/>
        <v>46277</v>
      </c>
      <c r="F118" s="8"/>
      <c r="G118" s="8"/>
      <c r="H118" s="24"/>
      <c r="I118" s="7"/>
      <c r="J118" s="10"/>
    </row>
    <row r="119" spans="4:10" x14ac:dyDescent="0.3">
      <c r="D119" s="3">
        <v>12</v>
      </c>
      <c r="E119" s="9">
        <f t="shared" si="1"/>
        <v>46277</v>
      </c>
      <c r="F119" s="8"/>
      <c r="G119" s="8"/>
      <c r="H119" s="24"/>
      <c r="I119" s="7"/>
      <c r="J119" s="10"/>
    </row>
    <row r="120" spans="4:10" x14ac:dyDescent="0.3">
      <c r="D120" s="3">
        <v>12</v>
      </c>
      <c r="E120" s="9">
        <f t="shared" si="1"/>
        <v>46277</v>
      </c>
      <c r="F120" s="8"/>
      <c r="G120" s="8"/>
      <c r="H120" s="24"/>
      <c r="I120" s="7"/>
      <c r="J120" s="10"/>
    </row>
    <row r="121" spans="4:10" x14ac:dyDescent="0.3">
      <c r="D121" s="3">
        <v>12</v>
      </c>
      <c r="E121" s="9">
        <f t="shared" si="1"/>
        <v>46277</v>
      </c>
      <c r="F121" s="8"/>
      <c r="G121" s="8"/>
      <c r="H121" s="24"/>
      <c r="I121" s="7"/>
      <c r="J121" s="10"/>
    </row>
    <row r="122" spans="4:10" x14ac:dyDescent="0.3">
      <c r="D122" s="3">
        <v>12</v>
      </c>
      <c r="E122" s="19">
        <f t="shared" si="1"/>
        <v>46277</v>
      </c>
      <c r="F122" s="20"/>
      <c r="G122" s="20"/>
      <c r="H122" s="25"/>
      <c r="I122" s="21"/>
      <c r="J122" s="22"/>
    </row>
    <row r="123" spans="4:10" x14ac:dyDescent="0.3">
      <c r="D123" s="3">
        <v>13</v>
      </c>
      <c r="E123" s="15">
        <f t="shared" si="1"/>
        <v>46278</v>
      </c>
      <c r="F123" s="16"/>
      <c r="G123" s="16"/>
      <c r="H123" s="23"/>
      <c r="I123" s="17"/>
      <c r="J123" s="18"/>
    </row>
    <row r="124" spans="4:10" x14ac:dyDescent="0.3">
      <c r="D124" s="3">
        <v>13</v>
      </c>
      <c r="E124" s="9">
        <f t="shared" si="1"/>
        <v>46278</v>
      </c>
      <c r="F124" s="8"/>
      <c r="G124" s="8"/>
      <c r="H124" s="24"/>
      <c r="I124" s="7"/>
      <c r="J124" s="10"/>
    </row>
    <row r="125" spans="4:10" x14ac:dyDescent="0.3">
      <c r="D125" s="3">
        <v>13</v>
      </c>
      <c r="E125" s="9">
        <f t="shared" si="1"/>
        <v>46278</v>
      </c>
      <c r="F125" s="8"/>
      <c r="G125" s="8"/>
      <c r="H125" s="24"/>
      <c r="I125" s="7"/>
      <c r="J125" s="10"/>
    </row>
    <row r="126" spans="4:10" x14ac:dyDescent="0.3">
      <c r="D126" s="3">
        <v>13</v>
      </c>
      <c r="E126" s="9">
        <f t="shared" si="1"/>
        <v>46278</v>
      </c>
      <c r="F126" s="8"/>
      <c r="G126" s="8"/>
      <c r="H126" s="24"/>
      <c r="I126" s="7"/>
      <c r="J126" s="10"/>
    </row>
    <row r="127" spans="4:10" x14ac:dyDescent="0.3">
      <c r="D127" s="3">
        <v>13</v>
      </c>
      <c r="E127" s="9">
        <f t="shared" si="1"/>
        <v>46278</v>
      </c>
      <c r="F127" s="8"/>
      <c r="G127" s="8"/>
      <c r="H127" s="24"/>
      <c r="I127" s="7"/>
      <c r="J127" s="10"/>
    </row>
    <row r="128" spans="4:10" x14ac:dyDescent="0.3">
      <c r="D128" s="3">
        <v>13</v>
      </c>
      <c r="E128" s="9">
        <f t="shared" si="1"/>
        <v>46278</v>
      </c>
      <c r="F128" s="8"/>
      <c r="G128" s="8"/>
      <c r="H128" s="24"/>
      <c r="I128" s="7"/>
      <c r="J128" s="10"/>
    </row>
    <row r="129" spans="4:10" x14ac:dyDescent="0.3">
      <c r="D129" s="3">
        <v>13</v>
      </c>
      <c r="E129" s="9">
        <f t="shared" si="1"/>
        <v>46278</v>
      </c>
      <c r="F129" s="8"/>
      <c r="G129" s="8"/>
      <c r="H129" s="24"/>
      <c r="I129" s="7"/>
      <c r="J129" s="10"/>
    </row>
    <row r="130" spans="4:10" x14ac:dyDescent="0.3">
      <c r="D130" s="3">
        <v>13</v>
      </c>
      <c r="E130" s="9">
        <f t="shared" si="1"/>
        <v>46278</v>
      </c>
      <c r="F130" s="8"/>
      <c r="G130" s="8"/>
      <c r="H130" s="24"/>
      <c r="I130" s="7"/>
      <c r="J130" s="10"/>
    </row>
    <row r="131" spans="4:10" x14ac:dyDescent="0.3">
      <c r="D131" s="3">
        <v>13</v>
      </c>
      <c r="E131" s="9">
        <f t="shared" si="1"/>
        <v>46278</v>
      </c>
      <c r="F131" s="8"/>
      <c r="G131" s="8"/>
      <c r="H131" s="24"/>
      <c r="I131" s="7"/>
      <c r="J131" s="10"/>
    </row>
    <row r="132" spans="4:10" x14ac:dyDescent="0.3">
      <c r="D132" s="3">
        <v>13</v>
      </c>
      <c r="E132" s="19">
        <f t="shared" ref="E132:E195" si="2">DATE($B$1,$B$2,$D132)</f>
        <v>46278</v>
      </c>
      <c r="F132" s="20"/>
      <c r="G132" s="20"/>
      <c r="H132" s="25"/>
      <c r="I132" s="21"/>
      <c r="J132" s="22"/>
    </row>
    <row r="133" spans="4:10" x14ac:dyDescent="0.3">
      <c r="D133" s="3">
        <v>14</v>
      </c>
      <c r="E133" s="15">
        <f t="shared" si="2"/>
        <v>46279</v>
      </c>
      <c r="F133" s="16"/>
      <c r="G133" s="16"/>
      <c r="H133" s="23"/>
      <c r="I133" s="17"/>
      <c r="J133" s="18"/>
    </row>
    <row r="134" spans="4:10" x14ac:dyDescent="0.3">
      <c r="D134" s="3">
        <v>14</v>
      </c>
      <c r="E134" s="9">
        <f t="shared" si="2"/>
        <v>46279</v>
      </c>
      <c r="F134" s="8"/>
      <c r="G134" s="8"/>
      <c r="H134" s="24"/>
      <c r="I134" s="7"/>
      <c r="J134" s="10"/>
    </row>
    <row r="135" spans="4:10" x14ac:dyDescent="0.3">
      <c r="D135" s="3">
        <v>14</v>
      </c>
      <c r="E135" s="9">
        <f t="shared" si="2"/>
        <v>46279</v>
      </c>
      <c r="F135" s="8"/>
      <c r="G135" s="8"/>
      <c r="H135" s="24"/>
      <c r="I135" s="7"/>
      <c r="J135" s="10"/>
    </row>
    <row r="136" spans="4:10" x14ac:dyDescent="0.3">
      <c r="D136" s="3">
        <v>14</v>
      </c>
      <c r="E136" s="9">
        <f t="shared" si="2"/>
        <v>46279</v>
      </c>
      <c r="F136" s="8"/>
      <c r="G136" s="8"/>
      <c r="H136" s="24"/>
      <c r="I136" s="7"/>
      <c r="J136" s="10"/>
    </row>
    <row r="137" spans="4:10" x14ac:dyDescent="0.3">
      <c r="D137" s="3">
        <v>14</v>
      </c>
      <c r="E137" s="9">
        <f t="shared" si="2"/>
        <v>46279</v>
      </c>
      <c r="F137" s="8"/>
      <c r="G137" s="8"/>
      <c r="H137" s="24"/>
      <c r="I137" s="7"/>
      <c r="J137" s="10"/>
    </row>
    <row r="138" spans="4:10" x14ac:dyDescent="0.3">
      <c r="D138" s="3">
        <v>14</v>
      </c>
      <c r="E138" s="9">
        <f t="shared" si="2"/>
        <v>46279</v>
      </c>
      <c r="F138" s="8"/>
      <c r="G138" s="8"/>
      <c r="H138" s="24"/>
      <c r="I138" s="7"/>
      <c r="J138" s="10"/>
    </row>
    <row r="139" spans="4:10" x14ac:dyDescent="0.3">
      <c r="D139" s="3">
        <v>14</v>
      </c>
      <c r="E139" s="9">
        <f t="shared" si="2"/>
        <v>46279</v>
      </c>
      <c r="F139" s="8"/>
      <c r="G139" s="8"/>
      <c r="H139" s="24"/>
      <c r="I139" s="7"/>
      <c r="J139" s="10"/>
    </row>
    <row r="140" spans="4:10" x14ac:dyDescent="0.3">
      <c r="D140" s="3">
        <v>14</v>
      </c>
      <c r="E140" s="9">
        <f t="shared" si="2"/>
        <v>46279</v>
      </c>
      <c r="F140" s="8"/>
      <c r="G140" s="8"/>
      <c r="H140" s="24"/>
      <c r="I140" s="7"/>
      <c r="J140" s="10"/>
    </row>
    <row r="141" spans="4:10" x14ac:dyDescent="0.3">
      <c r="D141" s="3">
        <v>14</v>
      </c>
      <c r="E141" s="9">
        <f t="shared" si="2"/>
        <v>46279</v>
      </c>
      <c r="F141" s="8"/>
      <c r="G141" s="8"/>
      <c r="H141" s="24"/>
      <c r="I141" s="7"/>
      <c r="J141" s="10"/>
    </row>
    <row r="142" spans="4:10" x14ac:dyDescent="0.3">
      <c r="D142" s="3">
        <v>14</v>
      </c>
      <c r="E142" s="19">
        <f t="shared" si="2"/>
        <v>46279</v>
      </c>
      <c r="F142" s="20"/>
      <c r="G142" s="20"/>
      <c r="H142" s="25"/>
      <c r="I142" s="21"/>
      <c r="J142" s="22"/>
    </row>
    <row r="143" spans="4:10" x14ac:dyDescent="0.3">
      <c r="D143" s="3">
        <v>15</v>
      </c>
      <c r="E143" s="15">
        <f t="shared" si="2"/>
        <v>46280</v>
      </c>
      <c r="F143" s="16"/>
      <c r="G143" s="16"/>
      <c r="H143" s="23"/>
      <c r="I143" s="17"/>
      <c r="J143" s="18"/>
    </row>
    <row r="144" spans="4:10" x14ac:dyDescent="0.3">
      <c r="D144" s="3">
        <v>15</v>
      </c>
      <c r="E144" s="9">
        <f t="shared" si="2"/>
        <v>46280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46280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46280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46280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46280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46280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46280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46280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46280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46281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46281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46281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46281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46281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46281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46281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46281</v>
      </c>
      <c r="F160" s="8"/>
      <c r="G160" s="8"/>
      <c r="H160" s="24"/>
      <c r="I160" s="7"/>
      <c r="J160" s="10"/>
    </row>
    <row r="161" spans="4:10" x14ac:dyDescent="0.3">
      <c r="D161" s="3">
        <v>16</v>
      </c>
      <c r="E161" s="9">
        <f t="shared" si="2"/>
        <v>46281</v>
      </c>
      <c r="F161" s="8"/>
      <c r="G161" s="8"/>
      <c r="H161" s="24"/>
      <c r="I161" s="7"/>
      <c r="J161" s="10"/>
    </row>
    <row r="162" spans="4:10" x14ac:dyDescent="0.3">
      <c r="D162" s="3">
        <v>16</v>
      </c>
      <c r="E162" s="19">
        <f t="shared" si="2"/>
        <v>46281</v>
      </c>
      <c r="F162" s="20"/>
      <c r="G162" s="20"/>
      <c r="H162" s="25"/>
      <c r="I162" s="21"/>
      <c r="J162" s="22"/>
    </row>
    <row r="163" spans="4:10" x14ac:dyDescent="0.3">
      <c r="D163" s="3">
        <v>17</v>
      </c>
      <c r="E163" s="15">
        <f t="shared" si="2"/>
        <v>46282</v>
      </c>
      <c r="F163" s="16"/>
      <c r="G163" s="16"/>
      <c r="H163" s="23"/>
      <c r="I163" s="17"/>
      <c r="J163" s="18"/>
    </row>
    <row r="164" spans="4:10" x14ac:dyDescent="0.3">
      <c r="D164" s="3">
        <v>17</v>
      </c>
      <c r="E164" s="9">
        <f t="shared" si="2"/>
        <v>46282</v>
      </c>
      <c r="F164" s="8"/>
      <c r="G164" s="8"/>
      <c r="H164" s="24"/>
      <c r="I164" s="7"/>
      <c r="J164" s="10"/>
    </row>
    <row r="165" spans="4:10" x14ac:dyDescent="0.3">
      <c r="D165" s="3">
        <v>17</v>
      </c>
      <c r="E165" s="9">
        <f t="shared" si="2"/>
        <v>46282</v>
      </c>
      <c r="F165" s="8"/>
      <c r="G165" s="8"/>
      <c r="H165" s="24"/>
      <c r="I165" s="7"/>
      <c r="J165" s="10"/>
    </row>
    <row r="166" spans="4:10" x14ac:dyDescent="0.3">
      <c r="D166" s="3">
        <v>17</v>
      </c>
      <c r="E166" s="9">
        <f t="shared" si="2"/>
        <v>46282</v>
      </c>
      <c r="F166" s="8"/>
      <c r="G166" s="8"/>
      <c r="H166" s="24"/>
      <c r="I166" s="7"/>
      <c r="J166" s="10"/>
    </row>
    <row r="167" spans="4:10" x14ac:dyDescent="0.3">
      <c r="D167" s="3">
        <v>17</v>
      </c>
      <c r="E167" s="9">
        <f t="shared" si="2"/>
        <v>46282</v>
      </c>
      <c r="F167" s="8"/>
      <c r="G167" s="8"/>
      <c r="H167" s="24"/>
      <c r="I167" s="7"/>
      <c r="J167" s="10"/>
    </row>
    <row r="168" spans="4:10" x14ac:dyDescent="0.3">
      <c r="D168" s="3">
        <v>17</v>
      </c>
      <c r="E168" s="9">
        <f t="shared" si="2"/>
        <v>46282</v>
      </c>
      <c r="F168" s="8"/>
      <c r="G168" s="8"/>
      <c r="H168" s="24"/>
      <c r="I168" s="7"/>
      <c r="J168" s="10"/>
    </row>
    <row r="169" spans="4:10" x14ac:dyDescent="0.3">
      <c r="D169" s="3">
        <v>17</v>
      </c>
      <c r="E169" s="9">
        <f t="shared" si="2"/>
        <v>46282</v>
      </c>
      <c r="F169" s="8"/>
      <c r="G169" s="8"/>
      <c r="H169" s="24"/>
      <c r="I169" s="7"/>
      <c r="J169" s="10"/>
    </row>
    <row r="170" spans="4:10" x14ac:dyDescent="0.3">
      <c r="D170" s="3">
        <v>17</v>
      </c>
      <c r="E170" s="9">
        <f t="shared" si="2"/>
        <v>46282</v>
      </c>
      <c r="F170" s="8"/>
      <c r="G170" s="8"/>
      <c r="H170" s="24"/>
      <c r="I170" s="7"/>
      <c r="J170" s="10"/>
    </row>
    <row r="171" spans="4:10" x14ac:dyDescent="0.3">
      <c r="D171" s="3">
        <v>17</v>
      </c>
      <c r="E171" s="9">
        <f t="shared" si="2"/>
        <v>46282</v>
      </c>
      <c r="F171" s="8"/>
      <c r="G171" s="8"/>
      <c r="H171" s="24"/>
      <c r="I171" s="7"/>
      <c r="J171" s="10"/>
    </row>
    <row r="172" spans="4:10" x14ac:dyDescent="0.3">
      <c r="D172" s="3">
        <v>17</v>
      </c>
      <c r="E172" s="19">
        <f t="shared" si="2"/>
        <v>46282</v>
      </c>
      <c r="F172" s="20"/>
      <c r="G172" s="20"/>
      <c r="H172" s="25"/>
      <c r="I172" s="21"/>
      <c r="J172" s="22"/>
    </row>
    <row r="173" spans="4:10" x14ac:dyDescent="0.3">
      <c r="D173" s="3">
        <v>18</v>
      </c>
      <c r="E173" s="15">
        <f t="shared" si="2"/>
        <v>46283</v>
      </c>
      <c r="F173" s="16"/>
      <c r="G173" s="16"/>
      <c r="H173" s="23"/>
      <c r="I173" s="17"/>
      <c r="J173" s="18"/>
    </row>
    <row r="174" spans="4:10" x14ac:dyDescent="0.3">
      <c r="D174" s="3">
        <v>18</v>
      </c>
      <c r="E174" s="9">
        <f t="shared" si="2"/>
        <v>46283</v>
      </c>
      <c r="F174" s="8"/>
      <c r="G174" s="8"/>
      <c r="H174" s="24"/>
      <c r="I174" s="7"/>
      <c r="J174" s="10"/>
    </row>
    <row r="175" spans="4:10" x14ac:dyDescent="0.3">
      <c r="D175" s="3">
        <v>18</v>
      </c>
      <c r="E175" s="9">
        <f t="shared" si="2"/>
        <v>46283</v>
      </c>
      <c r="F175" s="8"/>
      <c r="G175" s="8"/>
      <c r="H175" s="24"/>
      <c r="I175" s="7"/>
      <c r="J175" s="10"/>
    </row>
    <row r="176" spans="4:10" x14ac:dyDescent="0.3">
      <c r="D176" s="3">
        <v>18</v>
      </c>
      <c r="E176" s="9">
        <f t="shared" si="2"/>
        <v>46283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46283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46283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46283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46283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46283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46283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46284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46284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46284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46284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46284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46284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46284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46284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46284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46284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46285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46285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46285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46285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46285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46285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46285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46285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46285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46285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46286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46286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46286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46286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46286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46286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46286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46286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46286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46286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46287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46287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46287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46287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46287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46287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46287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46287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46287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46287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46288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46288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46288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46288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46288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46288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46288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46288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46288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46288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46289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46289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46289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46289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46289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46289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46289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46289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46289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46289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46290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46290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46290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46290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46290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46290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46290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46290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46290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46290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46291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46291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46291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46291</v>
      </c>
      <c r="F256" s="8"/>
      <c r="G256" s="8"/>
      <c r="H256" s="24"/>
      <c r="I256" s="7"/>
      <c r="J256" s="10"/>
    </row>
    <row r="257" spans="4:12" x14ac:dyDescent="0.3">
      <c r="D257" s="3">
        <v>26</v>
      </c>
      <c r="E257" s="9">
        <f t="shared" si="3"/>
        <v>46291</v>
      </c>
      <c r="F257" s="8"/>
      <c r="G257" s="8"/>
      <c r="H257" s="24"/>
      <c r="I257" s="7"/>
      <c r="J257" s="10"/>
    </row>
    <row r="258" spans="4:12" x14ac:dyDescent="0.3">
      <c r="D258" s="3">
        <v>26</v>
      </c>
      <c r="E258" s="9">
        <f t="shared" si="3"/>
        <v>46291</v>
      </c>
      <c r="F258" s="8"/>
      <c r="G258" s="8"/>
      <c r="H258" s="24"/>
      <c r="I258" s="7"/>
      <c r="J258" s="10"/>
    </row>
    <row r="259" spans="4:12" x14ac:dyDescent="0.3">
      <c r="D259" s="3">
        <v>26</v>
      </c>
      <c r="E259" s="9">
        <f t="shared" si="3"/>
        <v>46291</v>
      </c>
      <c r="F259" s="8"/>
      <c r="G259" s="8"/>
      <c r="H259" s="24"/>
      <c r="I259" s="7"/>
      <c r="J259" s="10"/>
    </row>
    <row r="260" spans="4:12" x14ac:dyDescent="0.3">
      <c r="D260" s="3">
        <v>26</v>
      </c>
      <c r="E260" s="9">
        <f t="shared" ref="E260:E302" si="4">DATE($B$1,$B$2,$D260)</f>
        <v>46291</v>
      </c>
      <c r="F260" s="8"/>
      <c r="G260" s="8"/>
      <c r="H260" s="24"/>
      <c r="I260" s="7"/>
      <c r="J260" s="10"/>
    </row>
    <row r="261" spans="4:12" x14ac:dyDescent="0.3">
      <c r="D261" s="3">
        <v>26</v>
      </c>
      <c r="E261" s="9">
        <f t="shared" si="4"/>
        <v>46291</v>
      </c>
      <c r="F261" s="8"/>
      <c r="G261" s="8"/>
      <c r="H261" s="24"/>
      <c r="I261" s="7"/>
      <c r="J261" s="10"/>
    </row>
    <row r="262" spans="4:12" x14ac:dyDescent="0.3">
      <c r="D262" s="3">
        <v>26</v>
      </c>
      <c r="E262" s="19">
        <f t="shared" si="4"/>
        <v>46291</v>
      </c>
      <c r="F262" s="20"/>
      <c r="G262" s="20"/>
      <c r="H262" s="25"/>
      <c r="I262" s="21"/>
      <c r="J262" s="22"/>
    </row>
    <row r="263" spans="4:12" x14ac:dyDescent="0.3">
      <c r="D263" s="3">
        <v>27</v>
      </c>
      <c r="E263" s="15">
        <f t="shared" si="4"/>
        <v>46292</v>
      </c>
      <c r="F263" s="16"/>
      <c r="G263" s="16"/>
      <c r="H263" s="23"/>
      <c r="I263" s="17"/>
      <c r="J263" s="18"/>
    </row>
    <row r="264" spans="4:12" x14ac:dyDescent="0.3">
      <c r="D264" s="3">
        <v>27</v>
      </c>
      <c r="E264" s="9">
        <f t="shared" si="4"/>
        <v>46292</v>
      </c>
      <c r="F264" s="8"/>
      <c r="G264" s="8"/>
      <c r="H264" s="24"/>
      <c r="I264" s="7"/>
      <c r="J264" s="10"/>
    </row>
    <row r="265" spans="4:12" x14ac:dyDescent="0.3">
      <c r="D265" s="3">
        <v>27</v>
      </c>
      <c r="E265" s="9">
        <f t="shared" si="4"/>
        <v>46292</v>
      </c>
      <c r="F265" s="8"/>
      <c r="G265" s="8"/>
      <c r="H265" s="24"/>
      <c r="I265" s="7"/>
      <c r="J265" s="10"/>
    </row>
    <row r="266" spans="4:12" x14ac:dyDescent="0.3">
      <c r="D266" s="3">
        <v>27</v>
      </c>
      <c r="E266" s="9">
        <f t="shared" si="4"/>
        <v>46292</v>
      </c>
      <c r="F266" s="8"/>
      <c r="G266" s="8"/>
      <c r="H266" s="24"/>
      <c r="I266" s="7"/>
      <c r="J266" s="10"/>
    </row>
    <row r="267" spans="4:12" x14ac:dyDescent="0.3">
      <c r="D267" s="3">
        <v>27</v>
      </c>
      <c r="E267" s="9">
        <f t="shared" si="4"/>
        <v>46292</v>
      </c>
      <c r="F267" s="8"/>
      <c r="G267" s="8"/>
      <c r="H267" s="24"/>
      <c r="I267" s="7"/>
      <c r="J267" s="10"/>
    </row>
    <row r="268" spans="4:12" x14ac:dyDescent="0.3">
      <c r="D268" s="3">
        <v>27</v>
      </c>
      <c r="E268" s="9">
        <f t="shared" si="4"/>
        <v>46292</v>
      </c>
      <c r="F268" s="8"/>
      <c r="G268" s="8"/>
      <c r="H268" s="24"/>
      <c r="I268" s="7"/>
      <c r="J268" s="10"/>
    </row>
    <row r="269" spans="4:12" x14ac:dyDescent="0.3">
      <c r="D269" s="3">
        <v>27</v>
      </c>
      <c r="E269" s="9">
        <f t="shared" si="4"/>
        <v>46292</v>
      </c>
      <c r="F269" s="8"/>
      <c r="G269" s="8"/>
      <c r="H269" s="24"/>
      <c r="I269" s="7"/>
      <c r="J269" s="10"/>
    </row>
    <row r="270" spans="4:12" x14ac:dyDescent="0.3">
      <c r="D270" s="3">
        <v>27</v>
      </c>
      <c r="E270" s="9">
        <f t="shared" si="4"/>
        <v>46292</v>
      </c>
      <c r="F270" s="8"/>
      <c r="G270" s="8"/>
      <c r="H270" s="24"/>
      <c r="I270" s="7"/>
      <c r="J270" s="10"/>
    </row>
    <row r="271" spans="4:12" x14ac:dyDescent="0.3">
      <c r="D271" s="3">
        <v>27</v>
      </c>
      <c r="E271" s="9">
        <f t="shared" si="4"/>
        <v>46292</v>
      </c>
      <c r="F271" s="8"/>
      <c r="G271" s="8"/>
      <c r="H271" s="24"/>
      <c r="I271" s="7"/>
      <c r="J271" s="10"/>
    </row>
    <row r="272" spans="4:12" x14ac:dyDescent="0.3">
      <c r="D272" s="3">
        <v>27</v>
      </c>
      <c r="E272" s="19">
        <f t="shared" si="4"/>
        <v>46292</v>
      </c>
      <c r="F272" s="20"/>
      <c r="G272" s="20"/>
      <c r="H272" s="25"/>
      <c r="I272" s="21"/>
      <c r="J272" s="22"/>
      <c r="L272" s="36"/>
    </row>
    <row r="273" spans="4:10" x14ac:dyDescent="0.3">
      <c r="D273" s="3">
        <v>28</v>
      </c>
      <c r="E273" s="15">
        <f t="shared" si="4"/>
        <v>46293</v>
      </c>
      <c r="F273" s="16"/>
      <c r="G273" s="16"/>
      <c r="H273" s="23"/>
      <c r="I273" s="17"/>
      <c r="J273" s="18"/>
    </row>
    <row r="274" spans="4:10" x14ac:dyDescent="0.3">
      <c r="D274" s="3">
        <v>28</v>
      </c>
      <c r="E274" s="9">
        <f t="shared" si="4"/>
        <v>46293</v>
      </c>
      <c r="F274" s="8"/>
      <c r="G274" s="8"/>
      <c r="H274" s="24"/>
      <c r="I274" s="7"/>
      <c r="J274" s="10"/>
    </row>
    <row r="275" spans="4:10" x14ac:dyDescent="0.3">
      <c r="D275" s="3">
        <v>28</v>
      </c>
      <c r="E275" s="9">
        <f t="shared" si="4"/>
        <v>46293</v>
      </c>
      <c r="F275" s="8"/>
      <c r="G275" s="8"/>
      <c r="H275" s="24"/>
      <c r="I275" s="7"/>
      <c r="J275" s="10"/>
    </row>
    <row r="276" spans="4:10" x14ac:dyDescent="0.3">
      <c r="D276" s="3">
        <v>28</v>
      </c>
      <c r="E276" s="9">
        <f t="shared" si="4"/>
        <v>46293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46293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46293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46293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46293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46293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19">
        <f t="shared" si="4"/>
        <v>46293</v>
      </c>
      <c r="F282" s="20"/>
      <c r="G282" s="20"/>
      <c r="H282" s="25"/>
      <c r="I282" s="21"/>
      <c r="J282" s="22"/>
    </row>
    <row r="283" spans="4:10" x14ac:dyDescent="0.3">
      <c r="D283" s="3">
        <v>29</v>
      </c>
      <c r="E283" s="15">
        <f t="shared" si="4"/>
        <v>46294</v>
      </c>
      <c r="F283" s="16"/>
      <c r="G283" s="16"/>
      <c r="H283" s="23"/>
      <c r="I283" s="17"/>
      <c r="J283" s="18"/>
    </row>
    <row r="284" spans="4:10" x14ac:dyDescent="0.3">
      <c r="D284" s="3">
        <v>29</v>
      </c>
      <c r="E284" s="9">
        <f t="shared" si="4"/>
        <v>46294</v>
      </c>
      <c r="F284" s="8"/>
      <c r="G284" s="8"/>
      <c r="H284" s="24"/>
      <c r="I284" s="7"/>
      <c r="J284" s="10"/>
    </row>
    <row r="285" spans="4:10" x14ac:dyDescent="0.3">
      <c r="D285" s="3">
        <v>29</v>
      </c>
      <c r="E285" s="9">
        <f t="shared" si="4"/>
        <v>46294</v>
      </c>
      <c r="F285" s="8"/>
      <c r="G285" s="8"/>
      <c r="H285" s="24"/>
      <c r="I285" s="7"/>
      <c r="J285" s="10"/>
    </row>
    <row r="286" spans="4:10" x14ac:dyDescent="0.3">
      <c r="D286" s="3">
        <v>29</v>
      </c>
      <c r="E286" s="9">
        <f t="shared" si="4"/>
        <v>46294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46294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46294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46294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46294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46294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46294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46295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46295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46295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46295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46295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46295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46295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46295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46295</v>
      </c>
      <c r="F301" s="8"/>
      <c r="G301" s="8"/>
      <c r="H301" s="24"/>
      <c r="I301" s="7"/>
      <c r="J301" s="10"/>
    </row>
    <row r="302" spans="4:10" ht="14.25" thickBot="1" x14ac:dyDescent="0.35">
      <c r="D302" s="3">
        <v>30</v>
      </c>
      <c r="E302" s="11">
        <f t="shared" si="4"/>
        <v>46295</v>
      </c>
      <c r="F302" s="12"/>
      <c r="G302" s="12"/>
      <c r="H302" s="26"/>
      <c r="I302" s="13"/>
      <c r="J302" s="14"/>
    </row>
    <row r="303" spans="4:10" x14ac:dyDescent="0.3">
      <c r="F303" s="6"/>
      <c r="G303" s="6"/>
    </row>
    <row r="304" spans="4:10" x14ac:dyDescent="0.3">
      <c r="F304" s="6"/>
      <c r="G304" s="6"/>
    </row>
    <row r="305" spans="6:7" x14ac:dyDescent="0.3">
      <c r="F305" s="6"/>
      <c r="G305" s="6"/>
    </row>
    <row r="306" spans="6:7" x14ac:dyDescent="0.3">
      <c r="F306" s="6"/>
      <c r="G306" s="6"/>
    </row>
    <row r="307" spans="6:7" x14ac:dyDescent="0.3">
      <c r="F307" s="6"/>
      <c r="G307" s="6"/>
    </row>
    <row r="308" spans="6:7" x14ac:dyDescent="0.3">
      <c r="F308" s="6"/>
      <c r="G308" s="6"/>
    </row>
    <row r="309" spans="6:7" x14ac:dyDescent="0.3">
      <c r="F309" s="6"/>
      <c r="G309" s="6"/>
    </row>
    <row r="310" spans="6:7" x14ac:dyDescent="0.3">
      <c r="F310" s="6"/>
      <c r="G310" s="6"/>
    </row>
    <row r="311" spans="6:7" x14ac:dyDescent="0.3">
      <c r="F311" s="6"/>
      <c r="G311" s="6"/>
    </row>
    <row r="312" spans="6:7" x14ac:dyDescent="0.3">
      <c r="F312" s="6"/>
      <c r="G312" s="6"/>
    </row>
    <row r="313" spans="6:7" x14ac:dyDescent="0.3">
      <c r="F313" s="6"/>
      <c r="G313" s="6"/>
    </row>
    <row r="314" spans="6:7" x14ac:dyDescent="0.3">
      <c r="F314" s="6"/>
      <c r="G314" s="6"/>
    </row>
    <row r="315" spans="6:7" x14ac:dyDescent="0.3">
      <c r="F315" s="6"/>
      <c r="G315" s="6"/>
    </row>
    <row r="316" spans="6:7" x14ac:dyDescent="0.3">
      <c r="F316" s="6"/>
      <c r="G316" s="6"/>
    </row>
    <row r="317" spans="6:7" x14ac:dyDescent="0.3">
      <c r="F317" s="6"/>
      <c r="G317" s="6"/>
    </row>
    <row r="318" spans="6:7" x14ac:dyDescent="0.3">
      <c r="F318" s="6"/>
      <c r="G318" s="6"/>
    </row>
    <row r="319" spans="6:7" x14ac:dyDescent="0.3">
      <c r="F319" s="6"/>
      <c r="G319" s="6"/>
    </row>
    <row r="320" spans="6:7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참조!$F$2:$F$3</xm:f>
          </x14:formula1>
          <xm:sqref>F3:F330</xm:sqref>
        </x14:dataValidation>
        <x14:dataValidation type="list" allowBlank="1" showInputMessage="1" showErrorMessage="1">
          <x14:formula1>
            <xm:f>참조!$G$2:$G$3</xm:f>
          </x14:formula1>
          <xm:sqref>G303:G330</xm:sqref>
        </x14:dataValidation>
        <x14:dataValidation type="list" allowBlank="1" showInputMessage="1" showErrorMessage="1">
          <x14:formula1>
            <xm:f>참조!$G:$G</xm:f>
          </x14:formula1>
          <xm:sqref>G3:G302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"/>
  <sheetViews>
    <sheetView zoomScaleNormal="100" workbookViewId="0">
      <pane ySplit="2" topLeftCell="A3" activePane="bottomLeft" state="frozen"/>
      <selection activeCell="C2" sqref="C2"/>
      <selection pane="bottomLeft" activeCell="C2" sqref="C2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f>'2026년달력'!A1</f>
        <v>2026</v>
      </c>
    </row>
    <row r="2" spans="1:10" ht="14.25" thickBot="1" x14ac:dyDescent="0.35">
      <c r="A2" s="3" t="s">
        <v>1</v>
      </c>
      <c r="B2" s="3">
        <v>10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46296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46296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46296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46296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46296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46296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46296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46296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46296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46296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46297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46297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46297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46297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46297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46297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46297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46297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46297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46297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46298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46298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46298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46298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46298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46298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46298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46298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46298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46298</v>
      </c>
      <c r="F32" s="20"/>
      <c r="G32" s="20"/>
      <c r="H32" s="25"/>
      <c r="I32" s="21"/>
      <c r="J32" s="22"/>
    </row>
    <row r="33" spans="4:12" x14ac:dyDescent="0.3">
      <c r="D33" s="3">
        <v>4</v>
      </c>
      <c r="E33" s="15">
        <f t="shared" si="0"/>
        <v>46299</v>
      </c>
      <c r="F33" s="16"/>
      <c r="G33" s="16"/>
      <c r="H33" s="23"/>
      <c r="I33" s="17"/>
      <c r="J33" s="18"/>
    </row>
    <row r="34" spans="4:12" x14ac:dyDescent="0.3">
      <c r="D34" s="3">
        <v>4</v>
      </c>
      <c r="E34" s="9">
        <f t="shared" si="0"/>
        <v>46299</v>
      </c>
      <c r="F34" s="8"/>
      <c r="G34" s="8"/>
      <c r="H34" s="24"/>
      <c r="I34" s="7"/>
      <c r="J34" s="10"/>
    </row>
    <row r="35" spans="4:12" x14ac:dyDescent="0.3">
      <c r="D35" s="3">
        <v>4</v>
      </c>
      <c r="E35" s="9">
        <f t="shared" si="0"/>
        <v>46299</v>
      </c>
      <c r="F35" s="8"/>
      <c r="G35" s="8"/>
      <c r="H35" s="24"/>
      <c r="I35" s="7"/>
      <c r="J35" s="10"/>
    </row>
    <row r="36" spans="4:12" x14ac:dyDescent="0.3">
      <c r="D36" s="3">
        <v>4</v>
      </c>
      <c r="E36" s="9">
        <f t="shared" si="0"/>
        <v>46299</v>
      </c>
      <c r="F36" s="8"/>
      <c r="G36" s="8"/>
      <c r="H36" s="24"/>
      <c r="I36" s="7"/>
      <c r="J36" s="10"/>
    </row>
    <row r="37" spans="4:12" x14ac:dyDescent="0.3">
      <c r="D37" s="3">
        <v>4</v>
      </c>
      <c r="E37" s="9">
        <f t="shared" si="0"/>
        <v>46299</v>
      </c>
      <c r="F37" s="8"/>
      <c r="G37" s="8"/>
      <c r="H37" s="24"/>
      <c r="I37" s="7"/>
      <c r="J37" s="10"/>
    </row>
    <row r="38" spans="4:12" x14ac:dyDescent="0.3">
      <c r="D38" s="3">
        <v>4</v>
      </c>
      <c r="E38" s="9">
        <f t="shared" si="0"/>
        <v>46299</v>
      </c>
      <c r="F38" s="8"/>
      <c r="G38" s="8"/>
      <c r="H38" s="24"/>
      <c r="I38" s="7"/>
      <c r="J38" s="10"/>
    </row>
    <row r="39" spans="4:12" x14ac:dyDescent="0.3">
      <c r="D39" s="3">
        <v>4</v>
      </c>
      <c r="E39" s="9">
        <f t="shared" si="0"/>
        <v>46299</v>
      </c>
      <c r="F39" s="8"/>
      <c r="G39" s="8"/>
      <c r="H39" s="24"/>
      <c r="I39" s="7"/>
      <c r="J39" s="10"/>
    </row>
    <row r="40" spans="4:12" x14ac:dyDescent="0.3">
      <c r="D40" s="3">
        <v>4</v>
      </c>
      <c r="E40" s="9">
        <f t="shared" si="0"/>
        <v>46299</v>
      </c>
      <c r="F40" s="8"/>
      <c r="G40" s="8"/>
      <c r="H40" s="24"/>
      <c r="I40" s="7"/>
      <c r="J40" s="10"/>
    </row>
    <row r="41" spans="4:12" x14ac:dyDescent="0.3">
      <c r="D41" s="3">
        <v>4</v>
      </c>
      <c r="E41" s="9">
        <f t="shared" si="0"/>
        <v>46299</v>
      </c>
      <c r="F41" s="8"/>
      <c r="G41" s="8"/>
      <c r="H41" s="24"/>
      <c r="I41" s="7"/>
      <c r="J41" s="10"/>
    </row>
    <row r="42" spans="4:12" x14ac:dyDescent="0.3">
      <c r="D42" s="3">
        <v>4</v>
      </c>
      <c r="E42" s="19">
        <f t="shared" si="0"/>
        <v>46299</v>
      </c>
      <c r="F42" s="20"/>
      <c r="G42" s="20"/>
      <c r="H42" s="25"/>
      <c r="I42" s="21"/>
      <c r="J42" s="22"/>
    </row>
    <row r="43" spans="4:12" x14ac:dyDescent="0.3">
      <c r="D43" s="3">
        <v>5</v>
      </c>
      <c r="E43" s="15">
        <f t="shared" si="0"/>
        <v>46300</v>
      </c>
      <c r="F43" s="16"/>
      <c r="G43" s="16"/>
      <c r="H43" s="23"/>
      <c r="I43" s="17"/>
      <c r="J43" s="18"/>
      <c r="L43" s="36"/>
    </row>
    <row r="44" spans="4:12" x14ac:dyDescent="0.3">
      <c r="D44" s="3">
        <v>5</v>
      </c>
      <c r="E44" s="9">
        <f t="shared" si="0"/>
        <v>46300</v>
      </c>
      <c r="F44" s="8"/>
      <c r="G44" s="8"/>
      <c r="H44" s="24"/>
      <c r="I44" s="7"/>
      <c r="J44" s="10"/>
    </row>
    <row r="45" spans="4:12" x14ac:dyDescent="0.3">
      <c r="D45" s="3">
        <v>5</v>
      </c>
      <c r="E45" s="9">
        <f t="shared" si="0"/>
        <v>46300</v>
      </c>
      <c r="F45" s="8"/>
      <c r="G45" s="8"/>
      <c r="H45" s="24"/>
      <c r="I45" s="7"/>
      <c r="J45" s="10"/>
    </row>
    <row r="46" spans="4:12" x14ac:dyDescent="0.3">
      <c r="D46" s="3">
        <v>5</v>
      </c>
      <c r="E46" s="9">
        <f t="shared" si="0"/>
        <v>46300</v>
      </c>
      <c r="F46" s="8"/>
      <c r="G46" s="8"/>
      <c r="H46" s="24"/>
      <c r="I46" s="7"/>
      <c r="J46" s="10"/>
    </row>
    <row r="47" spans="4:12" x14ac:dyDescent="0.3">
      <c r="D47" s="3">
        <v>5</v>
      </c>
      <c r="E47" s="9">
        <f t="shared" si="0"/>
        <v>46300</v>
      </c>
      <c r="F47" s="8"/>
      <c r="G47" s="8"/>
      <c r="H47" s="24"/>
      <c r="I47" s="7"/>
      <c r="J47" s="10"/>
    </row>
    <row r="48" spans="4:12" x14ac:dyDescent="0.3">
      <c r="D48" s="3">
        <v>5</v>
      </c>
      <c r="E48" s="9">
        <f t="shared" si="0"/>
        <v>46300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46300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46300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46300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46300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46301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46301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46301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46301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46301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46301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46301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46301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46301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46301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46302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46302</v>
      </c>
      <c r="F64" s="8"/>
      <c r="G64" s="8"/>
      <c r="H64" s="24"/>
      <c r="I64" s="7"/>
      <c r="J64" s="10"/>
    </row>
    <row r="65" spans="4:10" x14ac:dyDescent="0.3">
      <c r="D65" s="3">
        <v>7</v>
      </c>
      <c r="E65" s="9">
        <f t="shared" si="0"/>
        <v>46302</v>
      </c>
      <c r="F65" s="8"/>
      <c r="G65" s="8"/>
      <c r="H65" s="24"/>
      <c r="I65" s="7"/>
      <c r="J65" s="10"/>
    </row>
    <row r="66" spans="4:10" x14ac:dyDescent="0.3">
      <c r="D66" s="3">
        <v>7</v>
      </c>
      <c r="E66" s="9">
        <f t="shared" si="0"/>
        <v>46302</v>
      </c>
      <c r="F66" s="8"/>
      <c r="G66" s="8"/>
      <c r="H66" s="24"/>
      <c r="I66" s="7"/>
      <c r="J66" s="10"/>
    </row>
    <row r="67" spans="4:10" x14ac:dyDescent="0.3">
      <c r="D67" s="3">
        <v>7</v>
      </c>
      <c r="E67" s="9">
        <f t="shared" si="0"/>
        <v>46302</v>
      </c>
      <c r="F67" s="8"/>
      <c r="G67" s="8"/>
      <c r="H67" s="24"/>
      <c r="I67" s="7"/>
      <c r="J67" s="10"/>
    </row>
    <row r="68" spans="4:10" x14ac:dyDescent="0.3">
      <c r="D68" s="3">
        <v>7</v>
      </c>
      <c r="E68" s="9">
        <f t="shared" ref="E68:E131" si="1">DATE($B$1,$B$2,$D68)</f>
        <v>46302</v>
      </c>
      <c r="F68" s="8"/>
      <c r="G68" s="8"/>
      <c r="H68" s="24"/>
      <c r="I68" s="7"/>
      <c r="J68" s="10"/>
    </row>
    <row r="69" spans="4:10" x14ac:dyDescent="0.3">
      <c r="D69" s="3">
        <v>7</v>
      </c>
      <c r="E69" s="9">
        <f t="shared" si="1"/>
        <v>46302</v>
      </c>
      <c r="F69" s="8"/>
      <c r="G69" s="8"/>
      <c r="H69" s="24"/>
      <c r="I69" s="7"/>
      <c r="J69" s="10"/>
    </row>
    <row r="70" spans="4:10" x14ac:dyDescent="0.3">
      <c r="D70" s="3">
        <v>7</v>
      </c>
      <c r="E70" s="9">
        <f t="shared" si="1"/>
        <v>46302</v>
      </c>
      <c r="F70" s="8"/>
      <c r="G70" s="8"/>
      <c r="H70" s="24"/>
      <c r="I70" s="7"/>
      <c r="J70" s="10"/>
    </row>
    <row r="71" spans="4:10" x14ac:dyDescent="0.3">
      <c r="D71" s="3">
        <v>7</v>
      </c>
      <c r="E71" s="9">
        <f t="shared" si="1"/>
        <v>46302</v>
      </c>
      <c r="F71" s="8"/>
      <c r="G71" s="8"/>
      <c r="H71" s="24"/>
      <c r="I71" s="7"/>
      <c r="J71" s="10"/>
    </row>
    <row r="72" spans="4:10" x14ac:dyDescent="0.3">
      <c r="D72" s="3">
        <v>7</v>
      </c>
      <c r="E72" s="19">
        <f t="shared" si="1"/>
        <v>46302</v>
      </c>
      <c r="F72" s="20"/>
      <c r="G72" s="20"/>
      <c r="H72" s="25"/>
      <c r="I72" s="21"/>
      <c r="J72" s="22"/>
    </row>
    <row r="73" spans="4:10" x14ac:dyDescent="0.3">
      <c r="D73" s="3">
        <v>8</v>
      </c>
      <c r="E73" s="15">
        <f t="shared" si="1"/>
        <v>46303</v>
      </c>
      <c r="F73" s="16"/>
      <c r="G73" s="16"/>
      <c r="H73" s="23"/>
      <c r="I73" s="17"/>
      <c r="J73" s="18"/>
    </row>
    <row r="74" spans="4:10" x14ac:dyDescent="0.3">
      <c r="D74" s="3">
        <v>8</v>
      </c>
      <c r="E74" s="9">
        <f t="shared" si="1"/>
        <v>46303</v>
      </c>
      <c r="F74" s="8"/>
      <c r="G74" s="8"/>
      <c r="H74" s="24"/>
      <c r="I74" s="7"/>
      <c r="J74" s="10"/>
    </row>
    <row r="75" spans="4:10" x14ac:dyDescent="0.3">
      <c r="D75" s="3">
        <v>8</v>
      </c>
      <c r="E75" s="9">
        <f t="shared" si="1"/>
        <v>46303</v>
      </c>
      <c r="F75" s="8"/>
      <c r="G75" s="8"/>
      <c r="H75" s="24"/>
      <c r="I75" s="7"/>
      <c r="J75" s="10"/>
    </row>
    <row r="76" spans="4:10" x14ac:dyDescent="0.3">
      <c r="D76" s="3">
        <v>8</v>
      </c>
      <c r="E76" s="9">
        <f t="shared" si="1"/>
        <v>46303</v>
      </c>
      <c r="F76" s="8"/>
      <c r="G76" s="8"/>
      <c r="H76" s="24"/>
      <c r="I76" s="7"/>
      <c r="J76" s="10"/>
    </row>
    <row r="77" spans="4:10" x14ac:dyDescent="0.3">
      <c r="D77" s="3">
        <v>8</v>
      </c>
      <c r="E77" s="9">
        <f t="shared" si="1"/>
        <v>46303</v>
      </c>
      <c r="F77" s="8"/>
      <c r="G77" s="8"/>
      <c r="H77" s="24"/>
      <c r="I77" s="7"/>
      <c r="J77" s="10"/>
    </row>
    <row r="78" spans="4:10" x14ac:dyDescent="0.3">
      <c r="D78" s="3">
        <v>8</v>
      </c>
      <c r="E78" s="9">
        <f t="shared" si="1"/>
        <v>46303</v>
      </c>
      <c r="F78" s="8"/>
      <c r="G78" s="8"/>
      <c r="H78" s="24"/>
      <c r="I78" s="7"/>
      <c r="J78" s="10"/>
    </row>
    <row r="79" spans="4:10" x14ac:dyDescent="0.3">
      <c r="D79" s="3">
        <v>8</v>
      </c>
      <c r="E79" s="9">
        <f t="shared" si="1"/>
        <v>46303</v>
      </c>
      <c r="F79" s="8"/>
      <c r="G79" s="8"/>
      <c r="H79" s="24"/>
      <c r="I79" s="7"/>
      <c r="J79" s="10"/>
    </row>
    <row r="80" spans="4:10" x14ac:dyDescent="0.3">
      <c r="D80" s="3">
        <v>8</v>
      </c>
      <c r="E80" s="9">
        <f t="shared" si="1"/>
        <v>46303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46303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46303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46304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46304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46304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46304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46304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46304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46304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46304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46304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46304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46305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46305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46305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46305</v>
      </c>
      <c r="F96" s="8"/>
      <c r="G96" s="8"/>
      <c r="H96" s="24"/>
      <c r="I96" s="7"/>
      <c r="J96" s="10"/>
    </row>
    <row r="97" spans="4:12" x14ac:dyDescent="0.3">
      <c r="D97" s="3">
        <v>10</v>
      </c>
      <c r="E97" s="9">
        <f t="shared" si="1"/>
        <v>46305</v>
      </c>
      <c r="F97" s="8"/>
      <c r="G97" s="8"/>
      <c r="H97" s="24"/>
      <c r="I97" s="7"/>
      <c r="J97" s="10"/>
    </row>
    <row r="98" spans="4:12" x14ac:dyDescent="0.3">
      <c r="D98" s="3">
        <v>10</v>
      </c>
      <c r="E98" s="9">
        <f t="shared" si="1"/>
        <v>46305</v>
      </c>
      <c r="F98" s="8"/>
      <c r="G98" s="8"/>
      <c r="H98" s="24"/>
      <c r="I98" s="7"/>
      <c r="J98" s="10"/>
    </row>
    <row r="99" spans="4:12" x14ac:dyDescent="0.3">
      <c r="D99" s="3">
        <v>10</v>
      </c>
      <c r="E99" s="9">
        <f t="shared" si="1"/>
        <v>46305</v>
      </c>
      <c r="F99" s="8"/>
      <c r="G99" s="8"/>
      <c r="H99" s="24"/>
      <c r="I99" s="7"/>
      <c r="J99" s="10"/>
    </row>
    <row r="100" spans="4:12" x14ac:dyDescent="0.3">
      <c r="D100" s="3">
        <v>10</v>
      </c>
      <c r="E100" s="9">
        <f t="shared" si="1"/>
        <v>46305</v>
      </c>
      <c r="F100" s="8"/>
      <c r="G100" s="8"/>
      <c r="H100" s="24"/>
      <c r="I100" s="7"/>
      <c r="J100" s="10"/>
    </row>
    <row r="101" spans="4:12" x14ac:dyDescent="0.3">
      <c r="D101" s="3">
        <v>10</v>
      </c>
      <c r="E101" s="9">
        <f t="shared" si="1"/>
        <v>46305</v>
      </c>
      <c r="F101" s="8"/>
      <c r="G101" s="8"/>
      <c r="H101" s="24"/>
      <c r="I101" s="7"/>
      <c r="J101" s="10"/>
      <c r="L101" s="36"/>
    </row>
    <row r="102" spans="4:12" x14ac:dyDescent="0.3">
      <c r="D102" s="3">
        <v>10</v>
      </c>
      <c r="E102" s="19">
        <f t="shared" si="1"/>
        <v>46305</v>
      </c>
      <c r="F102" s="20"/>
      <c r="G102" s="20"/>
      <c r="H102" s="25"/>
      <c r="I102" s="21"/>
      <c r="J102" s="22"/>
      <c r="L102" s="36"/>
    </row>
    <row r="103" spans="4:12" x14ac:dyDescent="0.3">
      <c r="D103" s="3">
        <v>11</v>
      </c>
      <c r="E103" s="15">
        <f t="shared" si="1"/>
        <v>46306</v>
      </c>
      <c r="F103" s="16"/>
      <c r="G103" s="16"/>
      <c r="H103" s="23"/>
      <c r="I103" s="17"/>
      <c r="J103" s="18"/>
    </row>
    <row r="104" spans="4:12" x14ac:dyDescent="0.3">
      <c r="D104" s="3">
        <v>11</v>
      </c>
      <c r="E104" s="9">
        <f t="shared" si="1"/>
        <v>46306</v>
      </c>
      <c r="F104" s="8"/>
      <c r="G104" s="8"/>
      <c r="H104" s="24"/>
      <c r="I104" s="7"/>
      <c r="J104" s="10"/>
    </row>
    <row r="105" spans="4:12" x14ac:dyDescent="0.3">
      <c r="D105" s="3">
        <v>11</v>
      </c>
      <c r="E105" s="9">
        <f t="shared" si="1"/>
        <v>46306</v>
      </c>
      <c r="F105" s="8"/>
      <c r="G105" s="8"/>
      <c r="H105" s="24"/>
      <c r="I105" s="7"/>
      <c r="J105" s="10"/>
    </row>
    <row r="106" spans="4:12" x14ac:dyDescent="0.3">
      <c r="D106" s="3">
        <v>11</v>
      </c>
      <c r="E106" s="9">
        <f t="shared" si="1"/>
        <v>46306</v>
      </c>
      <c r="F106" s="8"/>
      <c r="G106" s="8"/>
      <c r="H106" s="24"/>
      <c r="I106" s="7"/>
      <c r="J106" s="10"/>
    </row>
    <row r="107" spans="4:12" x14ac:dyDescent="0.3">
      <c r="D107" s="3">
        <v>11</v>
      </c>
      <c r="E107" s="9">
        <f t="shared" si="1"/>
        <v>46306</v>
      </c>
      <c r="F107" s="8"/>
      <c r="G107" s="8"/>
      <c r="H107" s="24"/>
      <c r="I107" s="7"/>
      <c r="J107" s="10"/>
    </row>
    <row r="108" spans="4:12" x14ac:dyDescent="0.3">
      <c r="D108" s="3">
        <v>11</v>
      </c>
      <c r="E108" s="9">
        <f t="shared" si="1"/>
        <v>46306</v>
      </c>
      <c r="F108" s="8"/>
      <c r="G108" s="8"/>
      <c r="H108" s="24"/>
      <c r="I108" s="7"/>
      <c r="J108" s="10"/>
    </row>
    <row r="109" spans="4:12" x14ac:dyDescent="0.3">
      <c r="D109" s="3">
        <v>11</v>
      </c>
      <c r="E109" s="9">
        <f t="shared" si="1"/>
        <v>46306</v>
      </c>
      <c r="F109" s="8"/>
      <c r="G109" s="8"/>
      <c r="H109" s="24"/>
      <c r="I109" s="7"/>
      <c r="J109" s="10"/>
      <c r="L109" s="36"/>
    </row>
    <row r="110" spans="4:12" x14ac:dyDescent="0.3">
      <c r="D110" s="3">
        <v>11</v>
      </c>
      <c r="E110" s="9">
        <f t="shared" si="1"/>
        <v>46306</v>
      </c>
      <c r="F110" s="8"/>
      <c r="G110" s="8"/>
      <c r="H110" s="24"/>
      <c r="I110" s="7"/>
      <c r="J110" s="10"/>
    </row>
    <row r="111" spans="4:12" x14ac:dyDescent="0.3">
      <c r="D111" s="3">
        <v>11</v>
      </c>
      <c r="E111" s="9">
        <f t="shared" si="1"/>
        <v>46306</v>
      </c>
      <c r="F111" s="8"/>
      <c r="G111" s="8"/>
      <c r="H111" s="24"/>
      <c r="I111" s="7"/>
      <c r="J111" s="10"/>
    </row>
    <row r="112" spans="4:12" x14ac:dyDescent="0.3">
      <c r="D112" s="3">
        <v>11</v>
      </c>
      <c r="E112" s="19">
        <f t="shared" si="1"/>
        <v>46306</v>
      </c>
      <c r="F112" s="20"/>
      <c r="G112" s="20"/>
      <c r="H112" s="25"/>
      <c r="I112" s="21"/>
      <c r="J112" s="22"/>
      <c r="L112" s="36"/>
    </row>
    <row r="113" spans="4:12" x14ac:dyDescent="0.3">
      <c r="D113" s="3">
        <v>12</v>
      </c>
      <c r="E113" s="15">
        <f t="shared" si="1"/>
        <v>46307</v>
      </c>
      <c r="F113" s="16"/>
      <c r="G113" s="16"/>
      <c r="H113" s="23"/>
      <c r="I113" s="17"/>
      <c r="J113" s="18"/>
    </row>
    <row r="114" spans="4:12" x14ac:dyDescent="0.3">
      <c r="D114" s="3">
        <v>12</v>
      </c>
      <c r="E114" s="9">
        <f t="shared" si="1"/>
        <v>46307</v>
      </c>
      <c r="F114" s="8"/>
      <c r="G114" s="8"/>
      <c r="H114" s="24"/>
      <c r="I114" s="7"/>
      <c r="J114" s="10"/>
    </row>
    <row r="115" spans="4:12" x14ac:dyDescent="0.3">
      <c r="D115" s="3">
        <v>12</v>
      </c>
      <c r="E115" s="9">
        <f t="shared" si="1"/>
        <v>46307</v>
      </c>
      <c r="F115" s="8"/>
      <c r="G115" s="8"/>
      <c r="H115" s="24"/>
      <c r="I115" s="7"/>
      <c r="J115" s="10"/>
    </row>
    <row r="116" spans="4:12" x14ac:dyDescent="0.3">
      <c r="D116" s="3">
        <v>12</v>
      </c>
      <c r="E116" s="9">
        <f t="shared" si="1"/>
        <v>46307</v>
      </c>
      <c r="F116" s="8"/>
      <c r="G116" s="8"/>
      <c r="H116" s="24"/>
      <c r="I116" s="7"/>
      <c r="J116" s="10"/>
    </row>
    <row r="117" spans="4:12" x14ac:dyDescent="0.3">
      <c r="D117" s="3">
        <v>12</v>
      </c>
      <c r="E117" s="9">
        <f t="shared" si="1"/>
        <v>46307</v>
      </c>
      <c r="F117" s="8"/>
      <c r="G117" s="8"/>
      <c r="H117" s="24"/>
      <c r="I117" s="7"/>
      <c r="J117" s="10"/>
    </row>
    <row r="118" spans="4:12" x14ac:dyDescent="0.3">
      <c r="D118" s="3">
        <v>12</v>
      </c>
      <c r="E118" s="9">
        <f t="shared" si="1"/>
        <v>46307</v>
      </c>
      <c r="F118" s="8"/>
      <c r="G118" s="8"/>
      <c r="H118" s="24"/>
      <c r="I118" s="7"/>
      <c r="J118" s="10"/>
    </row>
    <row r="119" spans="4:12" x14ac:dyDescent="0.3">
      <c r="D119" s="3">
        <v>12</v>
      </c>
      <c r="E119" s="9">
        <f t="shared" si="1"/>
        <v>46307</v>
      </c>
      <c r="F119" s="8"/>
      <c r="G119" s="8"/>
      <c r="H119" s="24"/>
      <c r="I119" s="7"/>
      <c r="J119" s="10"/>
    </row>
    <row r="120" spans="4:12" x14ac:dyDescent="0.3">
      <c r="D120" s="3">
        <v>12</v>
      </c>
      <c r="E120" s="9">
        <f t="shared" si="1"/>
        <v>46307</v>
      </c>
      <c r="F120" s="8"/>
      <c r="G120" s="8"/>
      <c r="H120" s="24"/>
      <c r="I120" s="7"/>
      <c r="J120" s="10"/>
    </row>
    <row r="121" spans="4:12" x14ac:dyDescent="0.3">
      <c r="D121" s="3">
        <v>12</v>
      </c>
      <c r="E121" s="9">
        <f t="shared" si="1"/>
        <v>46307</v>
      </c>
      <c r="F121" s="8"/>
      <c r="G121" s="8"/>
      <c r="H121" s="24"/>
      <c r="I121" s="7"/>
      <c r="J121" s="10"/>
    </row>
    <row r="122" spans="4:12" x14ac:dyDescent="0.3">
      <c r="D122" s="3">
        <v>12</v>
      </c>
      <c r="E122" s="19">
        <f t="shared" si="1"/>
        <v>46307</v>
      </c>
      <c r="F122" s="20"/>
      <c r="G122" s="20"/>
      <c r="H122" s="25"/>
      <c r="I122" s="21"/>
      <c r="J122" s="22"/>
      <c r="L122" s="36"/>
    </row>
    <row r="123" spans="4:12" x14ac:dyDescent="0.3">
      <c r="D123" s="3">
        <v>13</v>
      </c>
      <c r="E123" s="15">
        <f t="shared" si="1"/>
        <v>46308</v>
      </c>
      <c r="F123" s="16"/>
      <c r="G123" s="16"/>
      <c r="H123" s="23"/>
      <c r="I123" s="17"/>
      <c r="J123" s="18"/>
    </row>
    <row r="124" spans="4:12" x14ac:dyDescent="0.3">
      <c r="D124" s="3">
        <v>13</v>
      </c>
      <c r="E124" s="9">
        <f t="shared" si="1"/>
        <v>46308</v>
      </c>
      <c r="F124" s="8"/>
      <c r="G124" s="8"/>
      <c r="H124" s="24"/>
      <c r="I124" s="7"/>
      <c r="J124" s="10"/>
    </row>
    <row r="125" spans="4:12" x14ac:dyDescent="0.3">
      <c r="D125" s="3">
        <v>13</v>
      </c>
      <c r="E125" s="9">
        <f t="shared" si="1"/>
        <v>46308</v>
      </c>
      <c r="F125" s="8"/>
      <c r="G125" s="8"/>
      <c r="H125" s="24"/>
      <c r="I125" s="7"/>
      <c r="J125" s="10"/>
    </row>
    <row r="126" spans="4:12" x14ac:dyDescent="0.3">
      <c r="D126" s="3">
        <v>13</v>
      </c>
      <c r="E126" s="9">
        <f t="shared" si="1"/>
        <v>46308</v>
      </c>
      <c r="F126" s="8"/>
      <c r="G126" s="8"/>
      <c r="H126" s="24"/>
      <c r="I126" s="7"/>
      <c r="J126" s="10"/>
    </row>
    <row r="127" spans="4:12" x14ac:dyDescent="0.3">
      <c r="D127" s="3">
        <v>13</v>
      </c>
      <c r="E127" s="9">
        <f t="shared" si="1"/>
        <v>46308</v>
      </c>
      <c r="F127" s="8"/>
      <c r="G127" s="8"/>
      <c r="H127" s="24"/>
      <c r="I127" s="7"/>
      <c r="J127" s="10"/>
    </row>
    <row r="128" spans="4:12" x14ac:dyDescent="0.3">
      <c r="D128" s="3">
        <v>13</v>
      </c>
      <c r="E128" s="9">
        <f t="shared" si="1"/>
        <v>46308</v>
      </c>
      <c r="F128" s="8"/>
      <c r="G128" s="8"/>
      <c r="H128" s="24"/>
      <c r="I128" s="7"/>
      <c r="J128" s="10"/>
    </row>
    <row r="129" spans="4:13" x14ac:dyDescent="0.3">
      <c r="D129" s="3">
        <v>13</v>
      </c>
      <c r="E129" s="9">
        <f t="shared" si="1"/>
        <v>46308</v>
      </c>
      <c r="F129" s="8"/>
      <c r="G129" s="8"/>
      <c r="H129" s="24"/>
      <c r="I129" s="7"/>
      <c r="J129" s="10"/>
      <c r="L129" s="36"/>
    </row>
    <row r="130" spans="4:13" x14ac:dyDescent="0.3">
      <c r="D130" s="3">
        <v>13</v>
      </c>
      <c r="E130" s="9">
        <f t="shared" si="1"/>
        <v>46308</v>
      </c>
      <c r="F130" s="8"/>
      <c r="G130" s="8"/>
      <c r="H130" s="24"/>
      <c r="I130" s="7"/>
      <c r="J130" s="10"/>
      <c r="M130" s="36"/>
    </row>
    <row r="131" spans="4:13" x14ac:dyDescent="0.3">
      <c r="D131" s="3">
        <v>13</v>
      </c>
      <c r="E131" s="9">
        <f t="shared" si="1"/>
        <v>46308</v>
      </c>
      <c r="F131" s="8"/>
      <c r="G131" s="8"/>
      <c r="H131" s="24"/>
      <c r="I131" s="7"/>
      <c r="J131" s="10"/>
    </row>
    <row r="132" spans="4:13" x14ac:dyDescent="0.3">
      <c r="D132" s="3">
        <v>13</v>
      </c>
      <c r="E132" s="19">
        <f t="shared" ref="E132:E195" si="2">DATE($B$1,$B$2,$D132)</f>
        <v>46308</v>
      </c>
      <c r="F132" s="20"/>
      <c r="G132" s="20"/>
      <c r="H132" s="25"/>
      <c r="I132" s="21"/>
      <c r="J132" s="22"/>
      <c r="L132" s="36"/>
    </row>
    <row r="133" spans="4:13" x14ac:dyDescent="0.3">
      <c r="D133" s="3">
        <v>14</v>
      </c>
      <c r="E133" s="15">
        <f t="shared" si="2"/>
        <v>46309</v>
      </c>
      <c r="F133" s="16"/>
      <c r="G133" s="16"/>
      <c r="H133" s="23"/>
      <c r="I133" s="17"/>
      <c r="J133" s="18"/>
      <c r="M133" s="36"/>
    </row>
    <row r="134" spans="4:13" x14ac:dyDescent="0.3">
      <c r="D134" s="3">
        <v>14</v>
      </c>
      <c r="E134" s="9">
        <f t="shared" si="2"/>
        <v>46309</v>
      </c>
      <c r="F134" s="8"/>
      <c r="G134" s="8"/>
      <c r="H134" s="24"/>
      <c r="I134" s="7"/>
      <c r="J134" s="10"/>
    </row>
    <row r="135" spans="4:13" x14ac:dyDescent="0.3">
      <c r="D135" s="3">
        <v>14</v>
      </c>
      <c r="E135" s="9">
        <f t="shared" si="2"/>
        <v>46309</v>
      </c>
      <c r="F135" s="8"/>
      <c r="G135" s="8"/>
      <c r="H135" s="24"/>
      <c r="I135" s="7"/>
      <c r="J135" s="10"/>
    </row>
    <row r="136" spans="4:13" x14ac:dyDescent="0.3">
      <c r="D136" s="3">
        <v>14</v>
      </c>
      <c r="E136" s="9">
        <f t="shared" si="2"/>
        <v>46309</v>
      </c>
      <c r="F136" s="8"/>
      <c r="G136" s="8"/>
      <c r="H136" s="24"/>
      <c r="I136" s="7"/>
      <c r="J136" s="10"/>
    </row>
    <row r="137" spans="4:13" x14ac:dyDescent="0.3">
      <c r="D137" s="3">
        <v>14</v>
      </c>
      <c r="E137" s="9">
        <f t="shared" si="2"/>
        <v>46309</v>
      </c>
      <c r="F137" s="8"/>
      <c r="G137" s="8"/>
      <c r="H137" s="24"/>
      <c r="I137" s="7"/>
      <c r="J137" s="10"/>
    </row>
    <row r="138" spans="4:13" x14ac:dyDescent="0.3">
      <c r="D138" s="3">
        <v>14</v>
      </c>
      <c r="E138" s="9">
        <f t="shared" si="2"/>
        <v>46309</v>
      </c>
      <c r="F138" s="8"/>
      <c r="G138" s="8"/>
      <c r="H138" s="24"/>
      <c r="I138" s="7"/>
      <c r="J138" s="10"/>
    </row>
    <row r="139" spans="4:13" x14ac:dyDescent="0.3">
      <c r="D139" s="3">
        <v>14</v>
      </c>
      <c r="E139" s="9">
        <f t="shared" si="2"/>
        <v>46309</v>
      </c>
      <c r="F139" s="8"/>
      <c r="G139" s="8"/>
      <c r="H139" s="24"/>
      <c r="I139" s="7"/>
      <c r="J139" s="10"/>
    </row>
    <row r="140" spans="4:13" x14ac:dyDescent="0.3">
      <c r="D140" s="3">
        <v>14</v>
      </c>
      <c r="E140" s="9">
        <f t="shared" si="2"/>
        <v>46309</v>
      </c>
      <c r="F140" s="8"/>
      <c r="G140" s="8"/>
      <c r="H140" s="24"/>
      <c r="I140" s="7"/>
      <c r="J140" s="10"/>
    </row>
    <row r="141" spans="4:13" x14ac:dyDescent="0.3">
      <c r="D141" s="3">
        <v>14</v>
      </c>
      <c r="E141" s="9">
        <f t="shared" si="2"/>
        <v>46309</v>
      </c>
      <c r="F141" s="8"/>
      <c r="G141" s="8"/>
      <c r="H141" s="24"/>
      <c r="I141" s="7"/>
      <c r="J141" s="10"/>
    </row>
    <row r="142" spans="4:13" x14ac:dyDescent="0.3">
      <c r="D142" s="3">
        <v>14</v>
      </c>
      <c r="E142" s="19">
        <f t="shared" si="2"/>
        <v>46309</v>
      </c>
      <c r="F142" s="20"/>
      <c r="G142" s="20"/>
      <c r="H142" s="25"/>
      <c r="I142" s="21"/>
      <c r="J142" s="22"/>
    </row>
    <row r="143" spans="4:13" x14ac:dyDescent="0.3">
      <c r="D143" s="3">
        <v>15</v>
      </c>
      <c r="E143" s="15">
        <f t="shared" si="2"/>
        <v>46310</v>
      </c>
      <c r="F143" s="16"/>
      <c r="G143" s="16"/>
      <c r="H143" s="23"/>
      <c r="I143" s="17"/>
      <c r="J143" s="18"/>
    </row>
    <row r="144" spans="4:13" x14ac:dyDescent="0.3">
      <c r="D144" s="3">
        <v>15</v>
      </c>
      <c r="E144" s="9">
        <f t="shared" si="2"/>
        <v>46310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46310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46310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46310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46310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46310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46310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46310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46310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46311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46311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46311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46311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46311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46311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46311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46311</v>
      </c>
      <c r="F160" s="8"/>
      <c r="G160" s="8"/>
      <c r="H160" s="24"/>
      <c r="I160" s="7"/>
      <c r="J160" s="10"/>
    </row>
    <row r="161" spans="4:10" x14ac:dyDescent="0.3">
      <c r="D161" s="3">
        <v>16</v>
      </c>
      <c r="E161" s="9">
        <f t="shared" si="2"/>
        <v>46311</v>
      </c>
      <c r="F161" s="8"/>
      <c r="G161" s="8"/>
      <c r="H161" s="24"/>
      <c r="I161" s="7"/>
      <c r="J161" s="10"/>
    </row>
    <row r="162" spans="4:10" x14ac:dyDescent="0.3">
      <c r="D162" s="3">
        <v>16</v>
      </c>
      <c r="E162" s="19">
        <f t="shared" si="2"/>
        <v>46311</v>
      </c>
      <c r="F162" s="20"/>
      <c r="G162" s="20"/>
      <c r="H162" s="25"/>
      <c r="I162" s="21"/>
      <c r="J162" s="22"/>
    </row>
    <row r="163" spans="4:10" x14ac:dyDescent="0.3">
      <c r="D163" s="3">
        <v>17</v>
      </c>
      <c r="E163" s="15">
        <f t="shared" si="2"/>
        <v>46312</v>
      </c>
      <c r="F163" s="16"/>
      <c r="G163" s="16"/>
      <c r="H163" s="23"/>
      <c r="I163" s="17"/>
      <c r="J163" s="18"/>
    </row>
    <row r="164" spans="4:10" x14ac:dyDescent="0.3">
      <c r="D164" s="3">
        <v>17</v>
      </c>
      <c r="E164" s="9">
        <f t="shared" si="2"/>
        <v>46312</v>
      </c>
      <c r="F164" s="8"/>
      <c r="G164" s="8"/>
      <c r="H164" s="24"/>
      <c r="I164" s="7"/>
      <c r="J164" s="10"/>
    </row>
    <row r="165" spans="4:10" x14ac:dyDescent="0.3">
      <c r="D165" s="3">
        <v>17</v>
      </c>
      <c r="E165" s="9">
        <f t="shared" si="2"/>
        <v>46312</v>
      </c>
      <c r="F165" s="8"/>
      <c r="G165" s="8"/>
      <c r="H165" s="24"/>
      <c r="I165" s="7"/>
      <c r="J165" s="10"/>
    </row>
    <row r="166" spans="4:10" x14ac:dyDescent="0.3">
      <c r="D166" s="3">
        <v>17</v>
      </c>
      <c r="E166" s="9">
        <f t="shared" si="2"/>
        <v>46312</v>
      </c>
      <c r="F166" s="8"/>
      <c r="G166" s="8"/>
      <c r="H166" s="24"/>
      <c r="I166" s="7"/>
      <c r="J166" s="10"/>
    </row>
    <row r="167" spans="4:10" x14ac:dyDescent="0.3">
      <c r="D167" s="3">
        <v>17</v>
      </c>
      <c r="E167" s="9">
        <f t="shared" si="2"/>
        <v>46312</v>
      </c>
      <c r="F167" s="8"/>
      <c r="G167" s="8"/>
      <c r="H167" s="24"/>
      <c r="I167" s="7"/>
      <c r="J167" s="10"/>
    </row>
    <row r="168" spans="4:10" x14ac:dyDescent="0.3">
      <c r="D168" s="3">
        <v>17</v>
      </c>
      <c r="E168" s="9">
        <f t="shared" si="2"/>
        <v>46312</v>
      </c>
      <c r="F168" s="8"/>
      <c r="G168" s="8"/>
      <c r="H168" s="24"/>
      <c r="I168" s="7"/>
      <c r="J168" s="10"/>
    </row>
    <row r="169" spans="4:10" x14ac:dyDescent="0.3">
      <c r="D169" s="3">
        <v>17</v>
      </c>
      <c r="E169" s="9">
        <f t="shared" si="2"/>
        <v>46312</v>
      </c>
      <c r="F169" s="8"/>
      <c r="G169" s="8"/>
      <c r="H169" s="24"/>
      <c r="I169" s="7"/>
      <c r="J169" s="10"/>
    </row>
    <row r="170" spans="4:10" x14ac:dyDescent="0.3">
      <c r="D170" s="3">
        <v>17</v>
      </c>
      <c r="E170" s="9">
        <f t="shared" si="2"/>
        <v>46312</v>
      </c>
      <c r="F170" s="8"/>
      <c r="G170" s="8"/>
      <c r="H170" s="24"/>
      <c r="I170" s="7"/>
      <c r="J170" s="10"/>
    </row>
    <row r="171" spans="4:10" x14ac:dyDescent="0.3">
      <c r="D171" s="3">
        <v>17</v>
      </c>
      <c r="E171" s="9">
        <f t="shared" si="2"/>
        <v>46312</v>
      </c>
      <c r="F171" s="8"/>
      <c r="G171" s="8"/>
      <c r="H171" s="24"/>
      <c r="I171" s="7"/>
      <c r="J171" s="10"/>
    </row>
    <row r="172" spans="4:10" x14ac:dyDescent="0.3">
      <c r="D172" s="3">
        <v>17</v>
      </c>
      <c r="E172" s="19">
        <f t="shared" si="2"/>
        <v>46312</v>
      </c>
      <c r="F172" s="20"/>
      <c r="G172" s="20"/>
      <c r="H172" s="25"/>
      <c r="I172" s="21"/>
      <c r="J172" s="22"/>
    </row>
    <row r="173" spans="4:10" x14ac:dyDescent="0.3">
      <c r="D173" s="3">
        <v>18</v>
      </c>
      <c r="E173" s="15">
        <f t="shared" si="2"/>
        <v>46313</v>
      </c>
      <c r="F173" s="16"/>
      <c r="G173" s="16"/>
      <c r="H173" s="23"/>
      <c r="I173" s="17"/>
      <c r="J173" s="18"/>
    </row>
    <row r="174" spans="4:10" x14ac:dyDescent="0.3">
      <c r="D174" s="3">
        <v>18</v>
      </c>
      <c r="E174" s="9">
        <f t="shared" si="2"/>
        <v>46313</v>
      </c>
      <c r="F174" s="8"/>
      <c r="G174" s="8"/>
      <c r="H174" s="24"/>
      <c r="I174" s="7"/>
      <c r="J174" s="10"/>
    </row>
    <row r="175" spans="4:10" x14ac:dyDescent="0.3">
      <c r="D175" s="3">
        <v>18</v>
      </c>
      <c r="E175" s="9">
        <f t="shared" si="2"/>
        <v>46313</v>
      </c>
      <c r="F175" s="8"/>
      <c r="G175" s="8"/>
      <c r="H175" s="24"/>
      <c r="I175" s="7"/>
      <c r="J175" s="10"/>
    </row>
    <row r="176" spans="4:10" x14ac:dyDescent="0.3">
      <c r="D176" s="3">
        <v>18</v>
      </c>
      <c r="E176" s="9">
        <f t="shared" si="2"/>
        <v>46313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46313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46313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46313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46313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46313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46313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46314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46314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46314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46314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46314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46314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46314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46314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46314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46314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46315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46315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46315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46315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46315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46315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46315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46315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46315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46315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46316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46316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46316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46316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46316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46316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46316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46316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46316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46316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46317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46317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46317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46317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46317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46317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46317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46317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46317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46317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46318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46318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46318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46318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46318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46318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46318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46318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46318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46318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46319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46319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46319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46319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46319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46319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46319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46319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46319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46319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46320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46320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46320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46320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46320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46320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46320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46320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46320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46320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46321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46321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46321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46321</v>
      </c>
      <c r="F256" s="8"/>
      <c r="G256" s="8"/>
      <c r="H256" s="24"/>
      <c r="I256" s="7"/>
      <c r="J256" s="10"/>
    </row>
    <row r="257" spans="4:11" x14ac:dyDescent="0.3">
      <c r="D257" s="3">
        <v>26</v>
      </c>
      <c r="E257" s="9">
        <f t="shared" si="3"/>
        <v>46321</v>
      </c>
      <c r="F257" s="8"/>
      <c r="G257" s="8"/>
      <c r="H257" s="24"/>
      <c r="I257" s="7"/>
      <c r="J257" s="10"/>
    </row>
    <row r="258" spans="4:11" x14ac:dyDescent="0.3">
      <c r="D258" s="3">
        <v>26</v>
      </c>
      <c r="E258" s="9">
        <f t="shared" si="3"/>
        <v>46321</v>
      </c>
      <c r="F258" s="8"/>
      <c r="G258" s="8"/>
      <c r="H258" s="24"/>
      <c r="I258" s="7"/>
      <c r="J258" s="10"/>
    </row>
    <row r="259" spans="4:11" x14ac:dyDescent="0.3">
      <c r="D259" s="3">
        <v>26</v>
      </c>
      <c r="E259" s="9">
        <f t="shared" si="3"/>
        <v>46321</v>
      </c>
      <c r="F259" s="8"/>
      <c r="G259" s="8"/>
      <c r="H259" s="24"/>
      <c r="I259" s="7"/>
      <c r="J259" s="10"/>
    </row>
    <row r="260" spans="4:11" x14ac:dyDescent="0.3">
      <c r="D260" s="3">
        <v>26</v>
      </c>
      <c r="E260" s="9">
        <f t="shared" ref="E260:E312" si="4">DATE($B$1,$B$2,$D260)</f>
        <v>46321</v>
      </c>
      <c r="F260" s="8"/>
      <c r="G260" s="8"/>
      <c r="H260" s="24"/>
      <c r="I260" s="7"/>
      <c r="J260" s="10"/>
    </row>
    <row r="261" spans="4:11" x14ac:dyDescent="0.3">
      <c r="D261" s="3">
        <v>26</v>
      </c>
      <c r="E261" s="9">
        <f t="shared" si="4"/>
        <v>46321</v>
      </c>
      <c r="F261" s="8"/>
      <c r="G261" s="8"/>
      <c r="H261" s="24"/>
      <c r="I261" s="7"/>
      <c r="J261" s="10"/>
    </row>
    <row r="262" spans="4:11" x14ac:dyDescent="0.3">
      <c r="D262" s="3">
        <v>26</v>
      </c>
      <c r="E262" s="19">
        <f t="shared" si="4"/>
        <v>46321</v>
      </c>
      <c r="F262" s="20"/>
      <c r="G262" s="20"/>
      <c r="H262" s="25"/>
      <c r="I262" s="21"/>
      <c r="J262" s="22"/>
      <c r="K262" s="36"/>
    </row>
    <row r="263" spans="4:11" x14ac:dyDescent="0.3">
      <c r="D263" s="3">
        <v>27</v>
      </c>
      <c r="E263" s="15">
        <f t="shared" si="4"/>
        <v>46322</v>
      </c>
      <c r="F263" s="16"/>
      <c r="G263" s="16"/>
      <c r="H263" s="23"/>
      <c r="I263" s="17"/>
      <c r="J263" s="18"/>
    </row>
    <row r="264" spans="4:11" x14ac:dyDescent="0.3">
      <c r="D264" s="3">
        <v>27</v>
      </c>
      <c r="E264" s="9">
        <f t="shared" si="4"/>
        <v>46322</v>
      </c>
      <c r="F264" s="8"/>
      <c r="G264" s="8"/>
      <c r="H264" s="24"/>
      <c r="I264" s="7"/>
      <c r="J264" s="10"/>
    </row>
    <row r="265" spans="4:11" x14ac:dyDescent="0.3">
      <c r="D265" s="3">
        <v>27</v>
      </c>
      <c r="E265" s="9">
        <f t="shared" si="4"/>
        <v>46322</v>
      </c>
      <c r="F265" s="8"/>
      <c r="G265" s="8"/>
      <c r="H265" s="24"/>
      <c r="I265" s="7"/>
      <c r="J265" s="10"/>
    </row>
    <row r="266" spans="4:11" x14ac:dyDescent="0.3">
      <c r="D266" s="3">
        <v>27</v>
      </c>
      <c r="E266" s="9">
        <f t="shared" si="4"/>
        <v>46322</v>
      </c>
      <c r="F266" s="8"/>
      <c r="G266" s="8"/>
      <c r="H266" s="24"/>
      <c r="I266" s="7"/>
      <c r="J266" s="10"/>
    </row>
    <row r="267" spans="4:11" x14ac:dyDescent="0.3">
      <c r="D267" s="3">
        <v>27</v>
      </c>
      <c r="E267" s="9">
        <f t="shared" si="4"/>
        <v>46322</v>
      </c>
      <c r="F267" s="8"/>
      <c r="G267" s="8"/>
      <c r="H267" s="24"/>
      <c r="I267" s="7"/>
      <c r="J267" s="10"/>
    </row>
    <row r="268" spans="4:11" x14ac:dyDescent="0.3">
      <c r="D268" s="3">
        <v>27</v>
      </c>
      <c r="E268" s="9">
        <f t="shared" si="4"/>
        <v>46322</v>
      </c>
      <c r="F268" s="8"/>
      <c r="G268" s="8"/>
      <c r="H268" s="24"/>
      <c r="I268" s="7"/>
      <c r="J268" s="10"/>
    </row>
    <row r="269" spans="4:11" x14ac:dyDescent="0.3">
      <c r="D269" s="3">
        <v>27</v>
      </c>
      <c r="E269" s="9">
        <f t="shared" si="4"/>
        <v>46322</v>
      </c>
      <c r="F269" s="8"/>
      <c r="G269" s="8"/>
      <c r="H269" s="24"/>
      <c r="I269" s="7"/>
      <c r="J269" s="10"/>
    </row>
    <row r="270" spans="4:11" x14ac:dyDescent="0.3">
      <c r="D270" s="3">
        <v>27</v>
      </c>
      <c r="E270" s="9">
        <f t="shared" si="4"/>
        <v>46322</v>
      </c>
      <c r="F270" s="8"/>
      <c r="G270" s="8"/>
      <c r="H270" s="24"/>
      <c r="I270" s="7"/>
      <c r="J270" s="10"/>
    </row>
    <row r="271" spans="4:11" x14ac:dyDescent="0.3">
      <c r="D271" s="3">
        <v>27</v>
      </c>
      <c r="E271" s="9">
        <f t="shared" si="4"/>
        <v>46322</v>
      </c>
      <c r="F271" s="8"/>
      <c r="G271" s="8"/>
      <c r="H271" s="24"/>
      <c r="I271" s="7"/>
      <c r="J271" s="10"/>
    </row>
    <row r="272" spans="4:11" x14ac:dyDescent="0.3">
      <c r="D272" s="3">
        <v>27</v>
      </c>
      <c r="E272" s="19">
        <f t="shared" si="4"/>
        <v>46322</v>
      </c>
      <c r="F272" s="20"/>
      <c r="G272" s="20"/>
      <c r="H272" s="25"/>
      <c r="I272" s="21"/>
      <c r="J272" s="22"/>
    </row>
    <row r="273" spans="4:10" x14ac:dyDescent="0.3">
      <c r="D273" s="3">
        <v>28</v>
      </c>
      <c r="E273" s="15">
        <f t="shared" si="4"/>
        <v>46323</v>
      </c>
      <c r="F273" s="16"/>
      <c r="G273" s="16"/>
      <c r="H273" s="23"/>
      <c r="I273" s="17"/>
      <c r="J273" s="18"/>
    </row>
    <row r="274" spans="4:10" x14ac:dyDescent="0.3">
      <c r="D274" s="3">
        <v>28</v>
      </c>
      <c r="E274" s="9">
        <f t="shared" si="4"/>
        <v>46323</v>
      </c>
      <c r="F274" s="8"/>
      <c r="G274" s="8"/>
      <c r="H274" s="24"/>
      <c r="I274" s="7"/>
      <c r="J274" s="10"/>
    </row>
    <row r="275" spans="4:10" x14ac:dyDescent="0.3">
      <c r="D275" s="3">
        <v>28</v>
      </c>
      <c r="E275" s="9">
        <f t="shared" si="4"/>
        <v>46323</v>
      </c>
      <c r="F275" s="8"/>
      <c r="G275" s="8"/>
      <c r="H275" s="24"/>
      <c r="I275" s="7"/>
      <c r="J275" s="10"/>
    </row>
    <row r="276" spans="4:10" x14ac:dyDescent="0.3">
      <c r="D276" s="3">
        <v>28</v>
      </c>
      <c r="E276" s="9">
        <f t="shared" si="4"/>
        <v>46323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46323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46323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46323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46323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46323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19">
        <f t="shared" si="4"/>
        <v>46323</v>
      </c>
      <c r="F282" s="20"/>
      <c r="G282" s="20"/>
      <c r="H282" s="25"/>
      <c r="I282" s="21"/>
      <c r="J282" s="22"/>
    </row>
    <row r="283" spans="4:10" x14ac:dyDescent="0.3">
      <c r="D283" s="3">
        <v>29</v>
      </c>
      <c r="E283" s="15">
        <f t="shared" si="4"/>
        <v>46324</v>
      </c>
      <c r="F283" s="16"/>
      <c r="G283" s="16"/>
      <c r="H283" s="23"/>
      <c r="I283" s="17"/>
      <c r="J283" s="18"/>
    </row>
    <row r="284" spans="4:10" x14ac:dyDescent="0.3">
      <c r="D284" s="3">
        <v>29</v>
      </c>
      <c r="E284" s="9">
        <f t="shared" si="4"/>
        <v>46324</v>
      </c>
      <c r="F284" s="8"/>
      <c r="G284" s="8"/>
      <c r="H284" s="24"/>
      <c r="I284" s="7"/>
      <c r="J284" s="10"/>
    </row>
    <row r="285" spans="4:10" x14ac:dyDescent="0.3">
      <c r="D285" s="3">
        <v>29</v>
      </c>
      <c r="E285" s="9">
        <f t="shared" si="4"/>
        <v>46324</v>
      </c>
      <c r="F285" s="8"/>
      <c r="G285" s="8"/>
      <c r="H285" s="24"/>
      <c r="I285" s="7"/>
      <c r="J285" s="10"/>
    </row>
    <row r="286" spans="4:10" x14ac:dyDescent="0.3">
      <c r="D286" s="3">
        <v>29</v>
      </c>
      <c r="E286" s="9">
        <f t="shared" si="4"/>
        <v>46324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46324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46324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46324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46324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46324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46324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46325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46325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46325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46325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46325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46325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46325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46325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46325</v>
      </c>
      <c r="F301" s="8"/>
      <c r="G301" s="8"/>
      <c r="H301" s="24"/>
      <c r="I301" s="7"/>
      <c r="J301" s="10"/>
    </row>
    <row r="302" spans="4:10" x14ac:dyDescent="0.3">
      <c r="D302" s="3">
        <v>30</v>
      </c>
      <c r="E302" s="19">
        <f t="shared" si="4"/>
        <v>46325</v>
      </c>
      <c r="F302" s="20"/>
      <c r="G302" s="20"/>
      <c r="H302" s="25"/>
      <c r="I302" s="21"/>
      <c r="J302" s="22"/>
    </row>
    <row r="303" spans="4:10" x14ac:dyDescent="0.3">
      <c r="D303" s="3">
        <v>31</v>
      </c>
      <c r="E303" s="15">
        <f t="shared" si="4"/>
        <v>46326</v>
      </c>
      <c r="F303" s="16"/>
      <c r="G303" s="16"/>
      <c r="H303" s="23"/>
      <c r="I303" s="17"/>
      <c r="J303" s="18"/>
    </row>
    <row r="304" spans="4:10" x14ac:dyDescent="0.3">
      <c r="D304" s="3">
        <v>31</v>
      </c>
      <c r="E304" s="9">
        <f t="shared" si="4"/>
        <v>46326</v>
      </c>
      <c r="F304" s="8"/>
      <c r="G304" s="8"/>
      <c r="H304" s="24"/>
      <c r="I304" s="7"/>
      <c r="J304" s="10"/>
    </row>
    <row r="305" spans="4:12" x14ac:dyDescent="0.3">
      <c r="D305" s="3">
        <v>31</v>
      </c>
      <c r="E305" s="9">
        <f t="shared" si="4"/>
        <v>46326</v>
      </c>
      <c r="F305" s="8"/>
      <c r="G305" s="8"/>
      <c r="H305" s="24"/>
      <c r="I305" s="7"/>
      <c r="J305" s="10"/>
    </row>
    <row r="306" spans="4:12" x14ac:dyDescent="0.3">
      <c r="D306" s="3">
        <v>31</v>
      </c>
      <c r="E306" s="9">
        <f t="shared" si="4"/>
        <v>46326</v>
      </c>
      <c r="F306" s="8"/>
      <c r="G306" s="8"/>
      <c r="H306" s="24"/>
      <c r="I306" s="7"/>
      <c r="J306" s="10"/>
    </row>
    <row r="307" spans="4:12" x14ac:dyDescent="0.3">
      <c r="D307" s="3">
        <v>31</v>
      </c>
      <c r="E307" s="9">
        <f t="shared" si="4"/>
        <v>46326</v>
      </c>
      <c r="F307" s="8"/>
      <c r="G307" s="8"/>
      <c r="H307" s="24"/>
      <c r="I307" s="7"/>
      <c r="J307" s="10"/>
    </row>
    <row r="308" spans="4:12" x14ac:dyDescent="0.3">
      <c r="D308" s="3">
        <v>31</v>
      </c>
      <c r="E308" s="9">
        <f t="shared" si="4"/>
        <v>46326</v>
      </c>
      <c r="F308" s="8"/>
      <c r="G308" s="8"/>
      <c r="H308" s="24"/>
      <c r="I308" s="7"/>
      <c r="J308" s="10"/>
    </row>
    <row r="309" spans="4:12" x14ac:dyDescent="0.3">
      <c r="D309" s="3">
        <v>31</v>
      </c>
      <c r="E309" s="9">
        <f t="shared" si="4"/>
        <v>46326</v>
      </c>
      <c r="F309" s="8"/>
      <c r="G309" s="8"/>
      <c r="H309" s="24"/>
      <c r="I309" s="7"/>
      <c r="J309" s="10"/>
    </row>
    <row r="310" spans="4:12" x14ac:dyDescent="0.3">
      <c r="D310" s="3">
        <v>31</v>
      </c>
      <c r="E310" s="9">
        <f t="shared" si="4"/>
        <v>46326</v>
      </c>
      <c r="F310" s="8"/>
      <c r="G310" s="8"/>
      <c r="H310" s="24"/>
      <c r="I310" s="7"/>
      <c r="J310" s="10"/>
    </row>
    <row r="311" spans="4:12" x14ac:dyDescent="0.3">
      <c r="D311" s="3">
        <v>31</v>
      </c>
      <c r="E311" s="9">
        <f t="shared" si="4"/>
        <v>46326</v>
      </c>
      <c r="F311" s="8"/>
      <c r="G311" s="8"/>
      <c r="H311" s="24"/>
      <c r="I311" s="7"/>
      <c r="J311" s="10"/>
    </row>
    <row r="312" spans="4:12" ht="14.25" thickBot="1" x14ac:dyDescent="0.35">
      <c r="D312" s="3">
        <v>31</v>
      </c>
      <c r="E312" s="11">
        <f t="shared" si="4"/>
        <v>46326</v>
      </c>
      <c r="F312" s="12"/>
      <c r="G312" s="12"/>
      <c r="H312" s="26"/>
      <c r="I312" s="13"/>
      <c r="J312" s="14"/>
      <c r="L312" s="36"/>
    </row>
    <row r="313" spans="4:12" x14ac:dyDescent="0.3">
      <c r="F313" s="6"/>
      <c r="G313" s="6"/>
    </row>
    <row r="314" spans="4:12" x14ac:dyDescent="0.3">
      <c r="F314" s="6"/>
      <c r="G314" s="6"/>
    </row>
    <row r="315" spans="4:12" x14ac:dyDescent="0.3">
      <c r="F315" s="6"/>
      <c r="G315" s="6"/>
    </row>
    <row r="316" spans="4:12" x14ac:dyDescent="0.3">
      <c r="F316" s="6"/>
      <c r="G316" s="6"/>
    </row>
    <row r="317" spans="4:12" x14ac:dyDescent="0.3">
      <c r="F317" s="6"/>
      <c r="G317" s="6"/>
    </row>
    <row r="318" spans="4:12" x14ac:dyDescent="0.3">
      <c r="F318" s="6"/>
      <c r="G318" s="6"/>
    </row>
    <row r="319" spans="4:12" x14ac:dyDescent="0.3">
      <c r="F319" s="6"/>
      <c r="G319" s="6"/>
    </row>
    <row r="320" spans="4:12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  <row r="331" spans="6:7" x14ac:dyDescent="0.3">
      <c r="F331" s="6"/>
      <c r="G331" s="6"/>
    </row>
    <row r="332" spans="6:7" x14ac:dyDescent="0.3">
      <c r="F332" s="6"/>
      <c r="G332" s="6"/>
    </row>
    <row r="333" spans="6:7" x14ac:dyDescent="0.3">
      <c r="F333" s="6"/>
      <c r="G333" s="6"/>
    </row>
    <row r="334" spans="6:7" x14ac:dyDescent="0.3">
      <c r="F334" s="6"/>
      <c r="G334" s="6"/>
    </row>
    <row r="335" spans="6:7" x14ac:dyDescent="0.3">
      <c r="F335" s="6"/>
      <c r="G335" s="6"/>
    </row>
    <row r="336" spans="6:7" x14ac:dyDescent="0.3">
      <c r="F336" s="6"/>
      <c r="G336" s="6"/>
    </row>
    <row r="337" spans="6:7" x14ac:dyDescent="0.3">
      <c r="F337" s="6"/>
      <c r="G337" s="6"/>
    </row>
    <row r="338" spans="6:7" x14ac:dyDescent="0.3">
      <c r="F338" s="6"/>
      <c r="G338" s="6"/>
    </row>
    <row r="339" spans="6:7" x14ac:dyDescent="0.3">
      <c r="F339" s="6"/>
      <c r="G339" s="6"/>
    </row>
    <row r="340" spans="6:7" x14ac:dyDescent="0.3">
      <c r="F340" s="6"/>
      <c r="G34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참조!$F$2:$F$3</xm:f>
          </x14:formula1>
          <xm:sqref>F3:F340</xm:sqref>
        </x14:dataValidation>
        <x14:dataValidation type="list" allowBlank="1" showInputMessage="1" showErrorMessage="1">
          <x14:formula1>
            <xm:f>참조!$G$2:$G$3</xm:f>
          </x14:formula1>
          <xm:sqref>G313:G340</xm:sqref>
        </x14:dataValidation>
        <x14:dataValidation type="list" allowBlank="1" showInputMessage="1" showErrorMessage="1">
          <x14:formula1>
            <xm:f>참조!$G:$G</xm:f>
          </x14:formula1>
          <xm:sqref>G3:G312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0"/>
  <sheetViews>
    <sheetView workbookViewId="0">
      <pane ySplit="2" topLeftCell="A3" activePane="bottomLeft" state="frozen"/>
      <selection activeCell="C2" sqref="C2"/>
      <selection pane="bottomLeft" activeCell="B1" sqref="B1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f>'2026년달력'!A1</f>
        <v>2026</v>
      </c>
    </row>
    <row r="2" spans="1:10" ht="14.25" thickBot="1" x14ac:dyDescent="0.35">
      <c r="A2" s="3" t="s">
        <v>1</v>
      </c>
      <c r="B2" s="3">
        <v>11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46327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46327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46327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46327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46327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46327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46327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46327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46327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46327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46328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46328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46328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46328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46328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46328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46328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46328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46328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46328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46329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46329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46329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46329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46329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46329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46329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46329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46329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46329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46330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46330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46330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46330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46330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46330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46330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46330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46330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46330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46331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46331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46331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46331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46331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46331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46331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46331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46331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46331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46332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46332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46332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46332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46332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46332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46332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46332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46332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46332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46333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46333</v>
      </c>
      <c r="F64" s="8"/>
      <c r="G64" s="8"/>
      <c r="H64" s="24"/>
      <c r="I64" s="7"/>
      <c r="J64" s="10"/>
    </row>
    <row r="65" spans="4:10" x14ac:dyDescent="0.3">
      <c r="D65" s="3">
        <v>7</v>
      </c>
      <c r="E65" s="9">
        <f t="shared" si="0"/>
        <v>46333</v>
      </c>
      <c r="F65" s="8"/>
      <c r="G65" s="8"/>
      <c r="H65" s="24"/>
      <c r="I65" s="7"/>
      <c r="J65" s="10"/>
    </row>
    <row r="66" spans="4:10" x14ac:dyDescent="0.3">
      <c r="D66" s="3">
        <v>7</v>
      </c>
      <c r="E66" s="9">
        <f t="shared" si="0"/>
        <v>46333</v>
      </c>
      <c r="F66" s="8"/>
      <c r="G66" s="8"/>
      <c r="H66" s="24"/>
      <c r="I66" s="7"/>
      <c r="J66" s="10"/>
    </row>
    <row r="67" spans="4:10" x14ac:dyDescent="0.3">
      <c r="D67" s="3">
        <v>7</v>
      </c>
      <c r="E67" s="9">
        <f t="shared" si="0"/>
        <v>46333</v>
      </c>
      <c r="F67" s="8"/>
      <c r="G67" s="8"/>
      <c r="H67" s="24"/>
      <c r="I67" s="7"/>
      <c r="J67" s="10"/>
    </row>
    <row r="68" spans="4:10" x14ac:dyDescent="0.3">
      <c r="D68" s="3">
        <v>7</v>
      </c>
      <c r="E68" s="9">
        <f t="shared" ref="E68:E131" si="1">DATE($B$1,$B$2,$D68)</f>
        <v>46333</v>
      </c>
      <c r="F68" s="8"/>
      <c r="G68" s="8"/>
      <c r="H68" s="24"/>
      <c r="I68" s="7"/>
      <c r="J68" s="10"/>
    </row>
    <row r="69" spans="4:10" x14ac:dyDescent="0.3">
      <c r="D69" s="3">
        <v>7</v>
      </c>
      <c r="E69" s="9">
        <f t="shared" si="1"/>
        <v>46333</v>
      </c>
      <c r="F69" s="8"/>
      <c r="G69" s="8"/>
      <c r="H69" s="24"/>
      <c r="I69" s="7"/>
      <c r="J69" s="10"/>
    </row>
    <row r="70" spans="4:10" x14ac:dyDescent="0.3">
      <c r="D70" s="3">
        <v>7</v>
      </c>
      <c r="E70" s="9">
        <f t="shared" si="1"/>
        <v>46333</v>
      </c>
      <c r="F70" s="8"/>
      <c r="G70" s="8"/>
      <c r="H70" s="24"/>
      <c r="I70" s="7"/>
      <c r="J70" s="10"/>
    </row>
    <row r="71" spans="4:10" x14ac:dyDescent="0.3">
      <c r="D71" s="3">
        <v>7</v>
      </c>
      <c r="E71" s="9">
        <f t="shared" si="1"/>
        <v>46333</v>
      </c>
      <c r="F71" s="8"/>
      <c r="G71" s="8"/>
      <c r="H71" s="24"/>
      <c r="I71" s="7"/>
      <c r="J71" s="10"/>
    </row>
    <row r="72" spans="4:10" x14ac:dyDescent="0.3">
      <c r="D72" s="3">
        <v>7</v>
      </c>
      <c r="E72" s="19">
        <f t="shared" si="1"/>
        <v>46333</v>
      </c>
      <c r="F72" s="20"/>
      <c r="G72" s="20"/>
      <c r="H72" s="25"/>
      <c r="I72" s="21"/>
      <c r="J72" s="22"/>
    </row>
    <row r="73" spans="4:10" x14ac:dyDescent="0.3">
      <c r="D73" s="3">
        <v>8</v>
      </c>
      <c r="E73" s="15">
        <f t="shared" si="1"/>
        <v>46334</v>
      </c>
      <c r="F73" s="16"/>
      <c r="G73" s="16"/>
      <c r="H73" s="23"/>
      <c r="I73" s="17"/>
      <c r="J73" s="18"/>
    </row>
    <row r="74" spans="4:10" x14ac:dyDescent="0.3">
      <c r="D74" s="3">
        <v>8</v>
      </c>
      <c r="E74" s="9">
        <f t="shared" si="1"/>
        <v>46334</v>
      </c>
      <c r="F74" s="8"/>
      <c r="G74" s="8"/>
      <c r="H74" s="24"/>
      <c r="I74" s="7"/>
      <c r="J74" s="10"/>
    </row>
    <row r="75" spans="4:10" x14ac:dyDescent="0.3">
      <c r="D75" s="3">
        <v>8</v>
      </c>
      <c r="E75" s="9">
        <f t="shared" si="1"/>
        <v>46334</v>
      </c>
      <c r="F75" s="8"/>
      <c r="G75" s="8"/>
      <c r="H75" s="24"/>
      <c r="I75" s="7"/>
      <c r="J75" s="10"/>
    </row>
    <row r="76" spans="4:10" x14ac:dyDescent="0.3">
      <c r="D76" s="3">
        <v>8</v>
      </c>
      <c r="E76" s="9">
        <f t="shared" si="1"/>
        <v>46334</v>
      </c>
      <c r="F76" s="8"/>
      <c r="G76" s="8"/>
      <c r="H76" s="24"/>
      <c r="I76" s="7"/>
      <c r="J76" s="10"/>
    </row>
    <row r="77" spans="4:10" x14ac:dyDescent="0.3">
      <c r="D77" s="3">
        <v>8</v>
      </c>
      <c r="E77" s="9">
        <f t="shared" si="1"/>
        <v>46334</v>
      </c>
      <c r="F77" s="8"/>
      <c r="G77" s="8"/>
      <c r="H77" s="24"/>
      <c r="I77" s="7"/>
      <c r="J77" s="10"/>
    </row>
    <row r="78" spans="4:10" x14ac:dyDescent="0.3">
      <c r="D78" s="3">
        <v>8</v>
      </c>
      <c r="E78" s="9">
        <f t="shared" si="1"/>
        <v>46334</v>
      </c>
      <c r="F78" s="8"/>
      <c r="G78" s="8"/>
      <c r="H78" s="24"/>
      <c r="I78" s="7"/>
      <c r="J78" s="10"/>
    </row>
    <row r="79" spans="4:10" x14ac:dyDescent="0.3">
      <c r="D79" s="3">
        <v>8</v>
      </c>
      <c r="E79" s="9">
        <f t="shared" si="1"/>
        <v>46334</v>
      </c>
      <c r="F79" s="8"/>
      <c r="G79" s="8"/>
      <c r="H79" s="24"/>
      <c r="I79" s="7"/>
      <c r="J79" s="10"/>
    </row>
    <row r="80" spans="4:10" x14ac:dyDescent="0.3">
      <c r="D80" s="3">
        <v>8</v>
      </c>
      <c r="E80" s="9">
        <f t="shared" si="1"/>
        <v>46334</v>
      </c>
      <c r="F80" s="8"/>
      <c r="G80" s="8"/>
      <c r="H80" s="24"/>
      <c r="I80" s="7"/>
      <c r="J80" s="10"/>
    </row>
    <row r="81" spans="4:12" x14ac:dyDescent="0.3">
      <c r="D81" s="3">
        <v>8</v>
      </c>
      <c r="E81" s="9">
        <f t="shared" si="1"/>
        <v>46334</v>
      </c>
      <c r="F81" s="8"/>
      <c r="G81" s="8"/>
      <c r="H81" s="24"/>
      <c r="I81" s="7"/>
      <c r="J81" s="10"/>
    </row>
    <row r="82" spans="4:12" x14ac:dyDescent="0.3">
      <c r="D82" s="3">
        <v>8</v>
      </c>
      <c r="E82" s="19">
        <f t="shared" si="1"/>
        <v>46334</v>
      </c>
      <c r="F82" s="20"/>
      <c r="G82" s="20"/>
      <c r="H82" s="25"/>
      <c r="I82" s="21"/>
      <c r="J82" s="22"/>
      <c r="L82" s="36"/>
    </row>
    <row r="83" spans="4:12" x14ac:dyDescent="0.3">
      <c r="D83" s="3">
        <v>9</v>
      </c>
      <c r="E83" s="15">
        <f t="shared" si="1"/>
        <v>46335</v>
      </c>
      <c r="F83" s="16"/>
      <c r="G83" s="16"/>
      <c r="H83" s="23"/>
      <c r="I83" s="17"/>
      <c r="J83" s="18"/>
    </row>
    <row r="84" spans="4:12" x14ac:dyDescent="0.3">
      <c r="D84" s="3">
        <v>9</v>
      </c>
      <c r="E84" s="9">
        <f t="shared" si="1"/>
        <v>46335</v>
      </c>
      <c r="F84" s="8"/>
      <c r="G84" s="8"/>
      <c r="H84" s="24"/>
      <c r="I84" s="7"/>
      <c r="J84" s="10"/>
      <c r="L84" s="36"/>
    </row>
    <row r="85" spans="4:12" x14ac:dyDescent="0.3">
      <c r="D85" s="3">
        <v>9</v>
      </c>
      <c r="E85" s="9">
        <f t="shared" si="1"/>
        <v>46335</v>
      </c>
      <c r="F85" s="8"/>
      <c r="G85" s="8"/>
      <c r="H85" s="24"/>
      <c r="I85" s="7"/>
      <c r="J85" s="10"/>
    </row>
    <row r="86" spans="4:12" x14ac:dyDescent="0.3">
      <c r="D86" s="3">
        <v>9</v>
      </c>
      <c r="E86" s="9">
        <f t="shared" si="1"/>
        <v>46335</v>
      </c>
      <c r="F86" s="8"/>
      <c r="G86" s="8"/>
      <c r="H86" s="24"/>
      <c r="I86" s="7"/>
      <c r="J86" s="10"/>
    </row>
    <row r="87" spans="4:12" x14ac:dyDescent="0.3">
      <c r="D87" s="3">
        <v>9</v>
      </c>
      <c r="E87" s="9">
        <f t="shared" si="1"/>
        <v>46335</v>
      </c>
      <c r="F87" s="8"/>
      <c r="G87" s="8"/>
      <c r="H87" s="24"/>
      <c r="I87" s="7"/>
      <c r="J87" s="10"/>
      <c r="L87" s="36"/>
    </row>
    <row r="88" spans="4:12" x14ac:dyDescent="0.3">
      <c r="D88" s="3">
        <v>9</v>
      </c>
      <c r="E88" s="9">
        <f t="shared" si="1"/>
        <v>46335</v>
      </c>
      <c r="F88" s="8"/>
      <c r="G88" s="8"/>
      <c r="H88" s="24"/>
      <c r="I88" s="7"/>
      <c r="J88" s="10"/>
    </row>
    <row r="89" spans="4:12" x14ac:dyDescent="0.3">
      <c r="D89" s="3">
        <v>9</v>
      </c>
      <c r="E89" s="9">
        <f t="shared" si="1"/>
        <v>46335</v>
      </c>
      <c r="F89" s="8"/>
      <c r="G89" s="8"/>
      <c r="H89" s="24"/>
      <c r="I89" s="7"/>
      <c r="J89" s="10"/>
    </row>
    <row r="90" spans="4:12" x14ac:dyDescent="0.3">
      <c r="D90" s="3">
        <v>9</v>
      </c>
      <c r="E90" s="9">
        <f t="shared" si="1"/>
        <v>46335</v>
      </c>
      <c r="F90" s="8"/>
      <c r="G90" s="8"/>
      <c r="H90" s="24"/>
      <c r="I90" s="7"/>
      <c r="J90" s="10"/>
    </row>
    <row r="91" spans="4:12" x14ac:dyDescent="0.3">
      <c r="D91" s="3">
        <v>9</v>
      </c>
      <c r="E91" s="9">
        <f t="shared" si="1"/>
        <v>46335</v>
      </c>
      <c r="F91" s="8"/>
      <c r="G91" s="8"/>
      <c r="H91" s="24"/>
      <c r="I91" s="7"/>
      <c r="J91" s="10"/>
    </row>
    <row r="92" spans="4:12" x14ac:dyDescent="0.3">
      <c r="D92" s="3">
        <v>9</v>
      </c>
      <c r="E92" s="19">
        <f t="shared" si="1"/>
        <v>46335</v>
      </c>
      <c r="F92" s="20"/>
      <c r="G92" s="20"/>
      <c r="H92" s="25"/>
      <c r="I92" s="21"/>
      <c r="J92" s="22"/>
    </row>
    <row r="93" spans="4:12" x14ac:dyDescent="0.3">
      <c r="D93" s="3">
        <v>10</v>
      </c>
      <c r="E93" s="15">
        <f t="shared" si="1"/>
        <v>46336</v>
      </c>
      <c r="F93" s="16"/>
      <c r="G93" s="16"/>
      <c r="H93" s="23"/>
      <c r="I93" s="17"/>
      <c r="J93" s="18"/>
    </row>
    <row r="94" spans="4:12" x14ac:dyDescent="0.3">
      <c r="D94" s="3">
        <v>10</v>
      </c>
      <c r="E94" s="9">
        <f t="shared" si="1"/>
        <v>46336</v>
      </c>
      <c r="F94" s="8"/>
      <c r="G94" s="8"/>
      <c r="H94" s="24"/>
      <c r="I94" s="7"/>
      <c r="J94" s="10"/>
    </row>
    <row r="95" spans="4:12" x14ac:dyDescent="0.3">
      <c r="D95" s="3">
        <v>10</v>
      </c>
      <c r="E95" s="9">
        <f t="shared" si="1"/>
        <v>46336</v>
      </c>
      <c r="F95" s="8"/>
      <c r="G95" s="8"/>
      <c r="H95" s="24"/>
      <c r="I95" s="7"/>
      <c r="J95" s="10"/>
    </row>
    <row r="96" spans="4:12" x14ac:dyDescent="0.3">
      <c r="D96" s="3">
        <v>10</v>
      </c>
      <c r="E96" s="9">
        <f t="shared" si="1"/>
        <v>46336</v>
      </c>
      <c r="F96" s="8"/>
      <c r="G96" s="8"/>
      <c r="H96" s="24"/>
      <c r="I96" s="7"/>
      <c r="J96" s="10"/>
    </row>
    <row r="97" spans="4:10" x14ac:dyDescent="0.3">
      <c r="D97" s="3">
        <v>10</v>
      </c>
      <c r="E97" s="9">
        <f t="shared" si="1"/>
        <v>46336</v>
      </c>
      <c r="F97" s="8"/>
      <c r="G97" s="8"/>
      <c r="H97" s="24"/>
      <c r="I97" s="7"/>
      <c r="J97" s="10"/>
    </row>
    <row r="98" spans="4:10" x14ac:dyDescent="0.3">
      <c r="D98" s="3">
        <v>10</v>
      </c>
      <c r="E98" s="9">
        <f t="shared" si="1"/>
        <v>46336</v>
      </c>
      <c r="F98" s="8"/>
      <c r="G98" s="8"/>
      <c r="H98" s="24"/>
      <c r="I98" s="7"/>
      <c r="J98" s="10"/>
    </row>
    <row r="99" spans="4:10" x14ac:dyDescent="0.3">
      <c r="D99" s="3">
        <v>10</v>
      </c>
      <c r="E99" s="9">
        <f t="shared" si="1"/>
        <v>46336</v>
      </c>
      <c r="F99" s="8"/>
      <c r="G99" s="8"/>
      <c r="H99" s="24"/>
      <c r="I99" s="7"/>
      <c r="J99" s="10"/>
    </row>
    <row r="100" spans="4:10" x14ac:dyDescent="0.3">
      <c r="D100" s="3">
        <v>10</v>
      </c>
      <c r="E100" s="9">
        <f t="shared" si="1"/>
        <v>46336</v>
      </c>
      <c r="F100" s="8"/>
      <c r="G100" s="8"/>
      <c r="H100" s="24"/>
      <c r="I100" s="7"/>
      <c r="J100" s="10"/>
    </row>
    <row r="101" spans="4:10" x14ac:dyDescent="0.3">
      <c r="D101" s="3">
        <v>10</v>
      </c>
      <c r="E101" s="9">
        <f t="shared" si="1"/>
        <v>46336</v>
      </c>
      <c r="F101" s="8"/>
      <c r="G101" s="8"/>
      <c r="H101" s="24"/>
      <c r="I101" s="7"/>
      <c r="J101" s="10"/>
    </row>
    <row r="102" spans="4:10" x14ac:dyDescent="0.3">
      <c r="D102" s="3">
        <v>10</v>
      </c>
      <c r="E102" s="19">
        <f t="shared" si="1"/>
        <v>46336</v>
      </c>
      <c r="F102" s="20"/>
      <c r="G102" s="20"/>
      <c r="H102" s="25"/>
      <c r="I102" s="21"/>
      <c r="J102" s="22"/>
    </row>
    <row r="103" spans="4:10" x14ac:dyDescent="0.3">
      <c r="D103" s="3">
        <v>11</v>
      </c>
      <c r="E103" s="15">
        <f t="shared" si="1"/>
        <v>46337</v>
      </c>
      <c r="F103" s="16"/>
      <c r="G103" s="16"/>
      <c r="H103" s="23"/>
      <c r="I103" s="17"/>
      <c r="J103" s="18"/>
    </row>
    <row r="104" spans="4:10" x14ac:dyDescent="0.3">
      <c r="D104" s="3">
        <v>11</v>
      </c>
      <c r="E104" s="9">
        <f t="shared" si="1"/>
        <v>46337</v>
      </c>
      <c r="F104" s="8"/>
      <c r="G104" s="8"/>
      <c r="H104" s="24"/>
      <c r="I104" s="7"/>
      <c r="J104" s="10"/>
    </row>
    <row r="105" spans="4:10" x14ac:dyDescent="0.3">
      <c r="D105" s="3">
        <v>11</v>
      </c>
      <c r="E105" s="9">
        <f t="shared" si="1"/>
        <v>46337</v>
      </c>
      <c r="F105" s="8"/>
      <c r="G105" s="8"/>
      <c r="H105" s="24"/>
      <c r="I105" s="7"/>
      <c r="J105" s="10"/>
    </row>
    <row r="106" spans="4:10" x14ac:dyDescent="0.3">
      <c r="D106" s="3">
        <v>11</v>
      </c>
      <c r="E106" s="9">
        <f t="shared" si="1"/>
        <v>46337</v>
      </c>
      <c r="F106" s="8"/>
      <c r="G106" s="8"/>
      <c r="H106" s="24"/>
      <c r="I106" s="7"/>
      <c r="J106" s="10"/>
    </row>
    <row r="107" spans="4:10" x14ac:dyDescent="0.3">
      <c r="D107" s="3">
        <v>11</v>
      </c>
      <c r="E107" s="9">
        <f t="shared" si="1"/>
        <v>46337</v>
      </c>
      <c r="F107" s="8"/>
      <c r="G107" s="8"/>
      <c r="H107" s="24"/>
      <c r="I107" s="7"/>
      <c r="J107" s="10"/>
    </row>
    <row r="108" spans="4:10" x14ac:dyDescent="0.3">
      <c r="D108" s="3">
        <v>11</v>
      </c>
      <c r="E108" s="9">
        <f t="shared" si="1"/>
        <v>46337</v>
      </c>
      <c r="F108" s="8"/>
      <c r="G108" s="8"/>
      <c r="H108" s="24"/>
      <c r="I108" s="7"/>
      <c r="J108" s="10"/>
    </row>
    <row r="109" spans="4:10" x14ac:dyDescent="0.3">
      <c r="D109" s="3">
        <v>11</v>
      </c>
      <c r="E109" s="9">
        <f t="shared" si="1"/>
        <v>46337</v>
      </c>
      <c r="F109" s="8"/>
      <c r="G109" s="8"/>
      <c r="H109" s="24"/>
      <c r="I109" s="7"/>
      <c r="J109" s="10"/>
    </row>
    <row r="110" spans="4:10" x14ac:dyDescent="0.3">
      <c r="D110" s="3">
        <v>11</v>
      </c>
      <c r="E110" s="9">
        <f t="shared" si="1"/>
        <v>46337</v>
      </c>
      <c r="F110" s="8"/>
      <c r="G110" s="8"/>
      <c r="H110" s="24"/>
      <c r="I110" s="7"/>
      <c r="J110" s="10"/>
    </row>
    <row r="111" spans="4:10" x14ac:dyDescent="0.3">
      <c r="D111" s="3">
        <v>11</v>
      </c>
      <c r="E111" s="9">
        <f t="shared" si="1"/>
        <v>46337</v>
      </c>
      <c r="F111" s="8"/>
      <c r="G111" s="8"/>
      <c r="H111" s="24"/>
      <c r="I111" s="7"/>
      <c r="J111" s="10"/>
    </row>
    <row r="112" spans="4:10" x14ac:dyDescent="0.3">
      <c r="D112" s="3">
        <v>11</v>
      </c>
      <c r="E112" s="19">
        <f t="shared" si="1"/>
        <v>46337</v>
      </c>
      <c r="F112" s="20"/>
      <c r="G112" s="20"/>
      <c r="H112" s="25"/>
      <c r="I112" s="21"/>
      <c r="J112" s="22"/>
    </row>
    <row r="113" spans="4:10" x14ac:dyDescent="0.3">
      <c r="D113" s="3">
        <v>12</v>
      </c>
      <c r="E113" s="15">
        <f t="shared" si="1"/>
        <v>46338</v>
      </c>
      <c r="F113" s="16"/>
      <c r="G113" s="16"/>
      <c r="H113" s="23"/>
      <c r="I113" s="17"/>
      <c r="J113" s="18"/>
    </row>
    <row r="114" spans="4:10" x14ac:dyDescent="0.3">
      <c r="D114" s="3">
        <v>12</v>
      </c>
      <c r="E114" s="9">
        <f t="shared" si="1"/>
        <v>46338</v>
      </c>
      <c r="F114" s="8"/>
      <c r="G114" s="8"/>
      <c r="H114" s="24"/>
      <c r="I114" s="7"/>
      <c r="J114" s="10"/>
    </row>
    <row r="115" spans="4:10" x14ac:dyDescent="0.3">
      <c r="D115" s="3">
        <v>12</v>
      </c>
      <c r="E115" s="9">
        <f t="shared" si="1"/>
        <v>46338</v>
      </c>
      <c r="F115" s="8"/>
      <c r="G115" s="8"/>
      <c r="H115" s="24"/>
      <c r="I115" s="7"/>
      <c r="J115" s="10"/>
    </row>
    <row r="116" spans="4:10" x14ac:dyDescent="0.3">
      <c r="D116" s="3">
        <v>12</v>
      </c>
      <c r="E116" s="9">
        <f t="shared" si="1"/>
        <v>46338</v>
      </c>
      <c r="F116" s="8"/>
      <c r="G116" s="8"/>
      <c r="H116" s="24"/>
      <c r="I116" s="7"/>
      <c r="J116" s="10"/>
    </row>
    <row r="117" spans="4:10" x14ac:dyDescent="0.3">
      <c r="D117" s="3">
        <v>12</v>
      </c>
      <c r="E117" s="9">
        <f t="shared" si="1"/>
        <v>46338</v>
      </c>
      <c r="F117" s="8"/>
      <c r="G117" s="8"/>
      <c r="H117" s="24"/>
      <c r="I117" s="7"/>
      <c r="J117" s="10"/>
    </row>
    <row r="118" spans="4:10" x14ac:dyDescent="0.3">
      <c r="D118" s="3">
        <v>12</v>
      </c>
      <c r="E118" s="9">
        <f t="shared" si="1"/>
        <v>46338</v>
      </c>
      <c r="F118" s="8"/>
      <c r="G118" s="8"/>
      <c r="H118" s="24"/>
      <c r="I118" s="7"/>
      <c r="J118" s="10"/>
    </row>
    <row r="119" spans="4:10" x14ac:dyDescent="0.3">
      <c r="D119" s="3">
        <v>12</v>
      </c>
      <c r="E119" s="9">
        <f t="shared" si="1"/>
        <v>46338</v>
      </c>
      <c r="F119" s="8"/>
      <c r="G119" s="8"/>
      <c r="H119" s="24"/>
      <c r="I119" s="7"/>
      <c r="J119" s="10"/>
    </row>
    <row r="120" spans="4:10" x14ac:dyDescent="0.3">
      <c r="D120" s="3">
        <v>12</v>
      </c>
      <c r="E120" s="9">
        <f t="shared" si="1"/>
        <v>46338</v>
      </c>
      <c r="F120" s="8"/>
      <c r="G120" s="8"/>
      <c r="H120" s="24"/>
      <c r="I120" s="7"/>
      <c r="J120" s="10"/>
    </row>
    <row r="121" spans="4:10" x14ac:dyDescent="0.3">
      <c r="D121" s="3">
        <v>12</v>
      </c>
      <c r="E121" s="9">
        <f t="shared" si="1"/>
        <v>46338</v>
      </c>
      <c r="F121" s="8"/>
      <c r="G121" s="8"/>
      <c r="H121" s="24"/>
      <c r="I121" s="7"/>
      <c r="J121" s="10"/>
    </row>
    <row r="122" spans="4:10" x14ac:dyDescent="0.3">
      <c r="D122" s="3">
        <v>12</v>
      </c>
      <c r="E122" s="19">
        <f t="shared" si="1"/>
        <v>46338</v>
      </c>
      <c r="F122" s="20"/>
      <c r="G122" s="20"/>
      <c r="H122" s="25"/>
      <c r="I122" s="21"/>
      <c r="J122" s="22"/>
    </row>
    <row r="123" spans="4:10" x14ac:dyDescent="0.3">
      <c r="D123" s="3">
        <v>13</v>
      </c>
      <c r="E123" s="15">
        <f t="shared" si="1"/>
        <v>46339</v>
      </c>
      <c r="F123" s="16"/>
      <c r="G123" s="16"/>
      <c r="H123" s="23"/>
      <c r="I123" s="17"/>
      <c r="J123" s="18"/>
    </row>
    <row r="124" spans="4:10" x14ac:dyDescent="0.3">
      <c r="D124" s="3">
        <v>13</v>
      </c>
      <c r="E124" s="9">
        <f t="shared" si="1"/>
        <v>46339</v>
      </c>
      <c r="F124" s="8"/>
      <c r="G124" s="8"/>
      <c r="H124" s="24"/>
      <c r="I124" s="7"/>
      <c r="J124" s="10"/>
    </row>
    <row r="125" spans="4:10" x14ac:dyDescent="0.3">
      <c r="D125" s="3">
        <v>13</v>
      </c>
      <c r="E125" s="9">
        <f t="shared" si="1"/>
        <v>46339</v>
      </c>
      <c r="F125" s="8"/>
      <c r="G125" s="8"/>
      <c r="H125" s="24"/>
      <c r="I125" s="7"/>
      <c r="J125" s="10"/>
    </row>
    <row r="126" spans="4:10" x14ac:dyDescent="0.3">
      <c r="D126" s="3">
        <v>13</v>
      </c>
      <c r="E126" s="9">
        <f t="shared" si="1"/>
        <v>46339</v>
      </c>
      <c r="F126" s="8"/>
      <c r="G126" s="8"/>
      <c r="H126" s="24"/>
      <c r="I126" s="7"/>
      <c r="J126" s="10"/>
    </row>
    <row r="127" spans="4:10" x14ac:dyDescent="0.3">
      <c r="D127" s="3">
        <v>13</v>
      </c>
      <c r="E127" s="9">
        <f t="shared" si="1"/>
        <v>46339</v>
      </c>
      <c r="F127" s="8"/>
      <c r="G127" s="8"/>
      <c r="H127" s="24"/>
      <c r="I127" s="7"/>
      <c r="J127" s="10"/>
    </row>
    <row r="128" spans="4:10" x14ac:dyDescent="0.3">
      <c r="D128" s="3">
        <v>13</v>
      </c>
      <c r="E128" s="9">
        <f t="shared" si="1"/>
        <v>46339</v>
      </c>
      <c r="F128" s="8"/>
      <c r="G128" s="8"/>
      <c r="H128" s="24"/>
      <c r="I128" s="7"/>
      <c r="J128" s="10"/>
    </row>
    <row r="129" spans="4:10" x14ac:dyDescent="0.3">
      <c r="D129" s="3">
        <v>13</v>
      </c>
      <c r="E129" s="9">
        <f t="shared" si="1"/>
        <v>46339</v>
      </c>
      <c r="F129" s="8"/>
      <c r="G129" s="8"/>
      <c r="H129" s="24"/>
      <c r="I129" s="7"/>
      <c r="J129" s="10"/>
    </row>
    <row r="130" spans="4:10" x14ac:dyDescent="0.3">
      <c r="D130" s="3">
        <v>13</v>
      </c>
      <c r="E130" s="9">
        <f t="shared" si="1"/>
        <v>46339</v>
      </c>
      <c r="F130" s="8"/>
      <c r="G130" s="8"/>
      <c r="H130" s="24"/>
      <c r="I130" s="7"/>
      <c r="J130" s="10"/>
    </row>
    <row r="131" spans="4:10" x14ac:dyDescent="0.3">
      <c r="D131" s="3">
        <v>13</v>
      </c>
      <c r="E131" s="9">
        <f t="shared" si="1"/>
        <v>46339</v>
      </c>
      <c r="F131" s="8"/>
      <c r="G131" s="8"/>
      <c r="H131" s="24"/>
      <c r="I131" s="7"/>
      <c r="J131" s="10"/>
    </row>
    <row r="132" spans="4:10" x14ac:dyDescent="0.3">
      <c r="D132" s="3">
        <v>13</v>
      </c>
      <c r="E132" s="19">
        <f t="shared" ref="E132:E195" si="2">DATE($B$1,$B$2,$D132)</f>
        <v>46339</v>
      </c>
      <c r="F132" s="20"/>
      <c r="G132" s="20"/>
      <c r="H132" s="25"/>
      <c r="I132" s="21"/>
      <c r="J132" s="22"/>
    </row>
    <row r="133" spans="4:10" x14ac:dyDescent="0.3">
      <c r="D133" s="3">
        <v>14</v>
      </c>
      <c r="E133" s="15">
        <f t="shared" si="2"/>
        <v>46340</v>
      </c>
      <c r="F133" s="16"/>
      <c r="G133" s="16"/>
      <c r="H133" s="23"/>
      <c r="I133" s="17"/>
      <c r="J133" s="18"/>
    </row>
    <row r="134" spans="4:10" x14ac:dyDescent="0.3">
      <c r="D134" s="3">
        <v>14</v>
      </c>
      <c r="E134" s="9">
        <f t="shared" si="2"/>
        <v>46340</v>
      </c>
      <c r="F134" s="8"/>
      <c r="G134" s="8"/>
      <c r="H134" s="24"/>
      <c r="I134" s="7"/>
      <c r="J134" s="10"/>
    </row>
    <row r="135" spans="4:10" x14ac:dyDescent="0.3">
      <c r="D135" s="3">
        <v>14</v>
      </c>
      <c r="E135" s="9">
        <f t="shared" si="2"/>
        <v>46340</v>
      </c>
      <c r="F135" s="8"/>
      <c r="G135" s="8"/>
      <c r="H135" s="24"/>
      <c r="I135" s="7"/>
      <c r="J135" s="10"/>
    </row>
    <row r="136" spans="4:10" x14ac:dyDescent="0.3">
      <c r="D136" s="3">
        <v>14</v>
      </c>
      <c r="E136" s="9">
        <f t="shared" si="2"/>
        <v>46340</v>
      </c>
      <c r="F136" s="8"/>
      <c r="G136" s="8"/>
      <c r="H136" s="24"/>
      <c r="I136" s="7"/>
      <c r="J136" s="10"/>
    </row>
    <row r="137" spans="4:10" x14ac:dyDescent="0.3">
      <c r="D137" s="3">
        <v>14</v>
      </c>
      <c r="E137" s="9">
        <f t="shared" si="2"/>
        <v>46340</v>
      </c>
      <c r="F137" s="8"/>
      <c r="G137" s="8"/>
      <c r="H137" s="24"/>
      <c r="I137" s="7"/>
      <c r="J137" s="10"/>
    </row>
    <row r="138" spans="4:10" x14ac:dyDescent="0.3">
      <c r="D138" s="3">
        <v>14</v>
      </c>
      <c r="E138" s="9">
        <f t="shared" si="2"/>
        <v>46340</v>
      </c>
      <c r="F138" s="8"/>
      <c r="G138" s="8"/>
      <c r="H138" s="24"/>
      <c r="I138" s="7"/>
      <c r="J138" s="10"/>
    </row>
    <row r="139" spans="4:10" x14ac:dyDescent="0.3">
      <c r="D139" s="3">
        <v>14</v>
      </c>
      <c r="E139" s="9">
        <f t="shared" si="2"/>
        <v>46340</v>
      </c>
      <c r="F139" s="8"/>
      <c r="G139" s="8"/>
      <c r="H139" s="24"/>
      <c r="I139" s="7"/>
      <c r="J139" s="10"/>
    </row>
    <row r="140" spans="4:10" x14ac:dyDescent="0.3">
      <c r="D140" s="3">
        <v>14</v>
      </c>
      <c r="E140" s="9">
        <f t="shared" si="2"/>
        <v>46340</v>
      </c>
      <c r="F140" s="8"/>
      <c r="G140" s="8"/>
      <c r="H140" s="24"/>
      <c r="I140" s="7"/>
      <c r="J140" s="10"/>
    </row>
    <row r="141" spans="4:10" x14ac:dyDescent="0.3">
      <c r="D141" s="3">
        <v>14</v>
      </c>
      <c r="E141" s="9">
        <f t="shared" si="2"/>
        <v>46340</v>
      </c>
      <c r="F141" s="8"/>
      <c r="G141" s="8"/>
      <c r="H141" s="24"/>
      <c r="I141" s="7"/>
      <c r="J141" s="10"/>
    </row>
    <row r="142" spans="4:10" x14ac:dyDescent="0.3">
      <c r="D142" s="3">
        <v>14</v>
      </c>
      <c r="E142" s="19">
        <f t="shared" si="2"/>
        <v>46340</v>
      </c>
      <c r="F142" s="20"/>
      <c r="G142" s="20"/>
      <c r="H142" s="25"/>
      <c r="I142" s="21"/>
      <c r="J142" s="22"/>
    </row>
    <row r="143" spans="4:10" x14ac:dyDescent="0.3">
      <c r="D143" s="3">
        <v>15</v>
      </c>
      <c r="E143" s="15">
        <f t="shared" si="2"/>
        <v>46341</v>
      </c>
      <c r="F143" s="16"/>
      <c r="G143" s="16"/>
      <c r="H143" s="23"/>
      <c r="I143" s="17"/>
      <c r="J143" s="18"/>
    </row>
    <row r="144" spans="4:10" x14ac:dyDescent="0.3">
      <c r="D144" s="3">
        <v>15</v>
      </c>
      <c r="E144" s="9">
        <f t="shared" si="2"/>
        <v>46341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46341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46341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46341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46341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46341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46341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46341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46341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46342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46342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46342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46342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46342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46342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46342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46342</v>
      </c>
      <c r="F160" s="8"/>
      <c r="G160" s="8"/>
      <c r="H160" s="24"/>
      <c r="I160" s="7"/>
      <c r="J160" s="10"/>
    </row>
    <row r="161" spans="4:10" x14ac:dyDescent="0.3">
      <c r="D161" s="3">
        <v>16</v>
      </c>
      <c r="E161" s="9">
        <f t="shared" si="2"/>
        <v>46342</v>
      </c>
      <c r="F161" s="8"/>
      <c r="G161" s="8"/>
      <c r="H161" s="24"/>
      <c r="I161" s="7"/>
      <c r="J161" s="10"/>
    </row>
    <row r="162" spans="4:10" x14ac:dyDescent="0.3">
      <c r="D162" s="3">
        <v>16</v>
      </c>
      <c r="E162" s="19">
        <f t="shared" si="2"/>
        <v>46342</v>
      </c>
      <c r="F162" s="20"/>
      <c r="G162" s="20"/>
      <c r="H162" s="25"/>
      <c r="I162" s="21"/>
      <c r="J162" s="22"/>
    </row>
    <row r="163" spans="4:10" x14ac:dyDescent="0.3">
      <c r="D163" s="3">
        <v>17</v>
      </c>
      <c r="E163" s="15">
        <f t="shared" si="2"/>
        <v>46343</v>
      </c>
      <c r="F163" s="16"/>
      <c r="G163" s="16"/>
      <c r="H163" s="23"/>
      <c r="I163" s="17"/>
      <c r="J163" s="18"/>
    </row>
    <row r="164" spans="4:10" x14ac:dyDescent="0.3">
      <c r="D164" s="3">
        <v>17</v>
      </c>
      <c r="E164" s="9">
        <f t="shared" si="2"/>
        <v>46343</v>
      </c>
      <c r="F164" s="8"/>
      <c r="G164" s="8"/>
      <c r="H164" s="24"/>
      <c r="I164" s="7"/>
      <c r="J164" s="10"/>
    </row>
    <row r="165" spans="4:10" x14ac:dyDescent="0.3">
      <c r="D165" s="3">
        <v>17</v>
      </c>
      <c r="E165" s="9">
        <f t="shared" si="2"/>
        <v>46343</v>
      </c>
      <c r="F165" s="8"/>
      <c r="G165" s="8"/>
      <c r="H165" s="24"/>
      <c r="I165" s="7"/>
      <c r="J165" s="10"/>
    </row>
    <row r="166" spans="4:10" x14ac:dyDescent="0.3">
      <c r="D166" s="3">
        <v>17</v>
      </c>
      <c r="E166" s="9">
        <f t="shared" si="2"/>
        <v>46343</v>
      </c>
      <c r="F166" s="8"/>
      <c r="G166" s="8"/>
      <c r="H166" s="24"/>
      <c r="I166" s="7"/>
      <c r="J166" s="10"/>
    </row>
    <row r="167" spans="4:10" x14ac:dyDescent="0.3">
      <c r="D167" s="3">
        <v>17</v>
      </c>
      <c r="E167" s="9">
        <f t="shared" si="2"/>
        <v>46343</v>
      </c>
      <c r="F167" s="8"/>
      <c r="G167" s="8"/>
      <c r="H167" s="24"/>
      <c r="I167" s="7"/>
      <c r="J167" s="10"/>
    </row>
    <row r="168" spans="4:10" x14ac:dyDescent="0.3">
      <c r="D168" s="3">
        <v>17</v>
      </c>
      <c r="E168" s="9">
        <f t="shared" si="2"/>
        <v>46343</v>
      </c>
      <c r="F168" s="8"/>
      <c r="G168" s="8"/>
      <c r="H168" s="24"/>
      <c r="I168" s="7"/>
      <c r="J168" s="10"/>
    </row>
    <row r="169" spans="4:10" x14ac:dyDescent="0.3">
      <c r="D169" s="3">
        <v>17</v>
      </c>
      <c r="E169" s="9">
        <f t="shared" si="2"/>
        <v>46343</v>
      </c>
      <c r="F169" s="8"/>
      <c r="G169" s="8"/>
      <c r="H169" s="24"/>
      <c r="I169" s="7"/>
      <c r="J169" s="10"/>
    </row>
    <row r="170" spans="4:10" x14ac:dyDescent="0.3">
      <c r="D170" s="3">
        <v>17</v>
      </c>
      <c r="E170" s="9">
        <f t="shared" si="2"/>
        <v>46343</v>
      </c>
      <c r="F170" s="8"/>
      <c r="G170" s="8"/>
      <c r="H170" s="24"/>
      <c r="I170" s="7"/>
      <c r="J170" s="10"/>
    </row>
    <row r="171" spans="4:10" x14ac:dyDescent="0.3">
      <c r="D171" s="3">
        <v>17</v>
      </c>
      <c r="E171" s="9">
        <f t="shared" si="2"/>
        <v>46343</v>
      </c>
      <c r="F171" s="8"/>
      <c r="G171" s="8"/>
      <c r="H171" s="24"/>
      <c r="I171" s="7"/>
      <c r="J171" s="10"/>
    </row>
    <row r="172" spans="4:10" x14ac:dyDescent="0.3">
      <c r="D172" s="3">
        <v>17</v>
      </c>
      <c r="E172" s="19">
        <f t="shared" si="2"/>
        <v>46343</v>
      </c>
      <c r="F172" s="20"/>
      <c r="G172" s="20"/>
      <c r="H172" s="25"/>
      <c r="I172" s="21"/>
      <c r="J172" s="22"/>
    </row>
    <row r="173" spans="4:10" x14ac:dyDescent="0.3">
      <c r="D173" s="3">
        <v>18</v>
      </c>
      <c r="E173" s="15">
        <f t="shared" si="2"/>
        <v>46344</v>
      </c>
      <c r="F173" s="16"/>
      <c r="G173" s="16"/>
      <c r="H173" s="23"/>
      <c r="I173" s="17"/>
      <c r="J173" s="18"/>
    </row>
    <row r="174" spans="4:10" x14ac:dyDescent="0.3">
      <c r="D174" s="3">
        <v>18</v>
      </c>
      <c r="E174" s="9">
        <f t="shared" si="2"/>
        <v>46344</v>
      </c>
      <c r="F174" s="8"/>
      <c r="G174" s="8"/>
      <c r="H174" s="24"/>
      <c r="I174" s="7"/>
      <c r="J174" s="10"/>
    </row>
    <row r="175" spans="4:10" x14ac:dyDescent="0.3">
      <c r="D175" s="3">
        <v>18</v>
      </c>
      <c r="E175" s="9">
        <f t="shared" si="2"/>
        <v>46344</v>
      </c>
      <c r="F175" s="8"/>
      <c r="G175" s="8"/>
      <c r="H175" s="24"/>
      <c r="I175" s="7"/>
      <c r="J175" s="10"/>
    </row>
    <row r="176" spans="4:10" x14ac:dyDescent="0.3">
      <c r="D176" s="3">
        <v>18</v>
      </c>
      <c r="E176" s="9">
        <f t="shared" si="2"/>
        <v>46344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46344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46344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46344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46344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46344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46344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46345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46345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46345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46345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46345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46345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46345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46345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46345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46345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46346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46346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46346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46346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46346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46346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46346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46346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46346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46346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46347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46347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46347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46347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46347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46347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46347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46347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46347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46347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46348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46348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46348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46348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46348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46348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46348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46348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46348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46348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46349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46349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46349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46349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46349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46349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46349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46349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46349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46349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46350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46350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46350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46350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46350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46350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46350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46350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46350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46350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46351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46351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46351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46351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46351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46351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46351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46351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46351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46351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46352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46352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46352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46352</v>
      </c>
      <c r="F256" s="8"/>
      <c r="G256" s="8"/>
      <c r="H256" s="24"/>
      <c r="I256" s="7"/>
      <c r="J256" s="10"/>
    </row>
    <row r="257" spans="4:10" x14ac:dyDescent="0.3">
      <c r="D257" s="3">
        <v>26</v>
      </c>
      <c r="E257" s="9">
        <f t="shared" si="3"/>
        <v>46352</v>
      </c>
      <c r="F257" s="8"/>
      <c r="G257" s="8"/>
      <c r="H257" s="24"/>
      <c r="I257" s="7"/>
      <c r="J257" s="10"/>
    </row>
    <row r="258" spans="4:10" x14ac:dyDescent="0.3">
      <c r="D258" s="3">
        <v>26</v>
      </c>
      <c r="E258" s="9">
        <f t="shared" si="3"/>
        <v>46352</v>
      </c>
      <c r="F258" s="8"/>
      <c r="G258" s="8"/>
      <c r="H258" s="24"/>
      <c r="I258" s="7"/>
      <c r="J258" s="10"/>
    </row>
    <row r="259" spans="4:10" x14ac:dyDescent="0.3">
      <c r="D259" s="3">
        <v>26</v>
      </c>
      <c r="E259" s="9">
        <f t="shared" si="3"/>
        <v>46352</v>
      </c>
      <c r="F259" s="8"/>
      <c r="G259" s="8"/>
      <c r="H259" s="24"/>
      <c r="I259" s="7"/>
      <c r="J259" s="10"/>
    </row>
    <row r="260" spans="4:10" x14ac:dyDescent="0.3">
      <c r="D260" s="3">
        <v>26</v>
      </c>
      <c r="E260" s="9">
        <f t="shared" ref="E260:E302" si="4">DATE($B$1,$B$2,$D260)</f>
        <v>46352</v>
      </c>
      <c r="F260" s="8"/>
      <c r="G260" s="8"/>
      <c r="H260" s="24"/>
      <c r="I260" s="7"/>
      <c r="J260" s="10"/>
    </row>
    <row r="261" spans="4:10" x14ac:dyDescent="0.3">
      <c r="D261" s="3">
        <v>26</v>
      </c>
      <c r="E261" s="9">
        <f t="shared" si="4"/>
        <v>46352</v>
      </c>
      <c r="F261" s="8"/>
      <c r="G261" s="8"/>
      <c r="H261" s="24"/>
      <c r="I261" s="7"/>
      <c r="J261" s="10"/>
    </row>
    <row r="262" spans="4:10" x14ac:dyDescent="0.3">
      <c r="D262" s="3">
        <v>26</v>
      </c>
      <c r="E262" s="19">
        <f t="shared" si="4"/>
        <v>46352</v>
      </c>
      <c r="F262" s="20"/>
      <c r="G262" s="20"/>
      <c r="H262" s="25"/>
      <c r="I262" s="21"/>
      <c r="J262" s="22"/>
    </row>
    <row r="263" spans="4:10" x14ac:dyDescent="0.3">
      <c r="D263" s="3">
        <v>27</v>
      </c>
      <c r="E263" s="15">
        <f t="shared" si="4"/>
        <v>46353</v>
      </c>
      <c r="F263" s="16"/>
      <c r="G263" s="16"/>
      <c r="H263" s="23"/>
      <c r="I263" s="17"/>
      <c r="J263" s="18"/>
    </row>
    <row r="264" spans="4:10" x14ac:dyDescent="0.3">
      <c r="D264" s="3">
        <v>27</v>
      </c>
      <c r="E264" s="9">
        <f t="shared" si="4"/>
        <v>46353</v>
      </c>
      <c r="F264" s="8"/>
      <c r="G264" s="8"/>
      <c r="H264" s="24"/>
      <c r="I264" s="7"/>
      <c r="J264" s="10"/>
    </row>
    <row r="265" spans="4:10" x14ac:dyDescent="0.3">
      <c r="D265" s="3">
        <v>27</v>
      </c>
      <c r="E265" s="9">
        <f t="shared" si="4"/>
        <v>46353</v>
      </c>
      <c r="F265" s="8"/>
      <c r="G265" s="8"/>
      <c r="H265" s="24"/>
      <c r="I265" s="7"/>
      <c r="J265" s="10"/>
    </row>
    <row r="266" spans="4:10" x14ac:dyDescent="0.3">
      <c r="D266" s="3">
        <v>27</v>
      </c>
      <c r="E266" s="9">
        <f t="shared" si="4"/>
        <v>46353</v>
      </c>
      <c r="F266" s="8"/>
      <c r="G266" s="8"/>
      <c r="H266" s="24"/>
      <c r="I266" s="7"/>
      <c r="J266" s="10"/>
    </row>
    <row r="267" spans="4:10" x14ac:dyDescent="0.3">
      <c r="D267" s="3">
        <v>27</v>
      </c>
      <c r="E267" s="9">
        <f t="shared" si="4"/>
        <v>46353</v>
      </c>
      <c r="F267" s="8"/>
      <c r="G267" s="8"/>
      <c r="H267" s="24"/>
      <c r="I267" s="7"/>
      <c r="J267" s="10"/>
    </row>
    <row r="268" spans="4:10" x14ac:dyDescent="0.3">
      <c r="D268" s="3">
        <v>27</v>
      </c>
      <c r="E268" s="9">
        <f t="shared" si="4"/>
        <v>46353</v>
      </c>
      <c r="F268" s="8"/>
      <c r="G268" s="8"/>
      <c r="H268" s="24"/>
      <c r="I268" s="7"/>
      <c r="J268" s="10"/>
    </row>
    <row r="269" spans="4:10" x14ac:dyDescent="0.3">
      <c r="D269" s="3">
        <v>27</v>
      </c>
      <c r="E269" s="9">
        <f t="shared" si="4"/>
        <v>46353</v>
      </c>
      <c r="F269" s="8"/>
      <c r="G269" s="8"/>
      <c r="H269" s="24"/>
      <c r="I269" s="7"/>
      <c r="J269" s="10"/>
    </row>
    <row r="270" spans="4:10" x14ac:dyDescent="0.3">
      <c r="D270" s="3">
        <v>27</v>
      </c>
      <c r="E270" s="9">
        <f t="shared" si="4"/>
        <v>46353</v>
      </c>
      <c r="F270" s="8"/>
      <c r="G270" s="8"/>
      <c r="H270" s="24"/>
      <c r="I270" s="7"/>
      <c r="J270" s="10"/>
    </row>
    <row r="271" spans="4:10" x14ac:dyDescent="0.3">
      <c r="D271" s="3">
        <v>27</v>
      </c>
      <c r="E271" s="9">
        <f t="shared" si="4"/>
        <v>46353</v>
      </c>
      <c r="F271" s="8"/>
      <c r="G271" s="8"/>
      <c r="H271" s="24"/>
      <c r="I271" s="7"/>
      <c r="J271" s="10"/>
    </row>
    <row r="272" spans="4:10" x14ac:dyDescent="0.3">
      <c r="D272" s="3">
        <v>27</v>
      </c>
      <c r="E272" s="19">
        <f t="shared" si="4"/>
        <v>46353</v>
      </c>
      <c r="F272" s="20"/>
      <c r="G272" s="20"/>
      <c r="H272" s="25"/>
      <c r="I272" s="21"/>
      <c r="J272" s="22"/>
    </row>
    <row r="273" spans="4:10" x14ac:dyDescent="0.3">
      <c r="D273" s="3">
        <v>28</v>
      </c>
      <c r="E273" s="15">
        <f t="shared" si="4"/>
        <v>46354</v>
      </c>
      <c r="F273" s="16"/>
      <c r="G273" s="16"/>
      <c r="H273" s="23"/>
      <c r="I273" s="17"/>
      <c r="J273" s="18"/>
    </row>
    <row r="274" spans="4:10" x14ac:dyDescent="0.3">
      <c r="D274" s="3">
        <v>28</v>
      </c>
      <c r="E274" s="9">
        <f t="shared" si="4"/>
        <v>46354</v>
      </c>
      <c r="F274" s="8"/>
      <c r="G274" s="8"/>
      <c r="H274" s="24"/>
      <c r="I274" s="7"/>
      <c r="J274" s="10"/>
    </row>
    <row r="275" spans="4:10" x14ac:dyDescent="0.3">
      <c r="D275" s="3">
        <v>28</v>
      </c>
      <c r="E275" s="9">
        <f t="shared" si="4"/>
        <v>46354</v>
      </c>
      <c r="F275" s="8"/>
      <c r="G275" s="8"/>
      <c r="H275" s="24"/>
      <c r="I275" s="7"/>
      <c r="J275" s="10"/>
    </row>
    <row r="276" spans="4:10" x14ac:dyDescent="0.3">
      <c r="D276" s="3">
        <v>28</v>
      </c>
      <c r="E276" s="9">
        <f t="shared" si="4"/>
        <v>46354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46354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46354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46354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46354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46354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19">
        <f t="shared" si="4"/>
        <v>46354</v>
      </c>
      <c r="F282" s="20"/>
      <c r="G282" s="20"/>
      <c r="H282" s="25"/>
      <c r="I282" s="21"/>
      <c r="J282" s="22"/>
    </row>
    <row r="283" spans="4:10" x14ac:dyDescent="0.3">
      <c r="D283" s="3">
        <v>29</v>
      </c>
      <c r="E283" s="15">
        <f t="shared" si="4"/>
        <v>46355</v>
      </c>
      <c r="F283" s="16"/>
      <c r="G283" s="16"/>
      <c r="H283" s="23"/>
      <c r="I283" s="17"/>
      <c r="J283" s="18"/>
    </row>
    <row r="284" spans="4:10" x14ac:dyDescent="0.3">
      <c r="D284" s="3">
        <v>29</v>
      </c>
      <c r="E284" s="9">
        <f t="shared" si="4"/>
        <v>46355</v>
      </c>
      <c r="F284" s="8"/>
      <c r="G284" s="8"/>
      <c r="H284" s="24"/>
      <c r="I284" s="7"/>
      <c r="J284" s="10"/>
    </row>
    <row r="285" spans="4:10" x14ac:dyDescent="0.3">
      <c r="D285" s="3">
        <v>29</v>
      </c>
      <c r="E285" s="9">
        <f t="shared" si="4"/>
        <v>46355</v>
      </c>
      <c r="F285" s="8"/>
      <c r="G285" s="8"/>
      <c r="H285" s="24"/>
      <c r="I285" s="7"/>
      <c r="J285" s="10"/>
    </row>
    <row r="286" spans="4:10" x14ac:dyDescent="0.3">
      <c r="D286" s="3">
        <v>29</v>
      </c>
      <c r="E286" s="9">
        <f t="shared" si="4"/>
        <v>46355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46355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46355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46355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46355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46355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46355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46356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46356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46356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46356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46356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46356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46356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46356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46356</v>
      </c>
      <c r="F301" s="8"/>
      <c r="G301" s="8"/>
      <c r="H301" s="24"/>
      <c r="I301" s="7"/>
      <c r="J301" s="10"/>
    </row>
    <row r="302" spans="4:10" ht="14.25" thickBot="1" x14ac:dyDescent="0.35">
      <c r="D302" s="3">
        <v>30</v>
      </c>
      <c r="E302" s="11">
        <f t="shared" si="4"/>
        <v>46356</v>
      </c>
      <c r="F302" s="12"/>
      <c r="G302" s="12"/>
      <c r="H302" s="26"/>
      <c r="I302" s="13"/>
      <c r="J302" s="14"/>
    </row>
    <row r="303" spans="4:10" x14ac:dyDescent="0.3">
      <c r="F303" s="6"/>
      <c r="G303" s="6"/>
    </row>
    <row r="304" spans="4:10" x14ac:dyDescent="0.3">
      <c r="F304" s="6"/>
      <c r="G304" s="6"/>
    </row>
    <row r="305" spans="6:7" x14ac:dyDescent="0.3">
      <c r="F305" s="6"/>
      <c r="G305" s="6"/>
    </row>
    <row r="306" spans="6:7" x14ac:dyDescent="0.3">
      <c r="F306" s="6"/>
      <c r="G306" s="6"/>
    </row>
    <row r="307" spans="6:7" x14ac:dyDescent="0.3">
      <c r="F307" s="6"/>
      <c r="G307" s="6"/>
    </row>
    <row r="308" spans="6:7" x14ac:dyDescent="0.3">
      <c r="F308" s="6"/>
      <c r="G308" s="6"/>
    </row>
    <row r="309" spans="6:7" x14ac:dyDescent="0.3">
      <c r="F309" s="6"/>
      <c r="G309" s="6"/>
    </row>
    <row r="310" spans="6:7" x14ac:dyDescent="0.3">
      <c r="F310" s="6"/>
      <c r="G310" s="6"/>
    </row>
    <row r="311" spans="6:7" x14ac:dyDescent="0.3">
      <c r="F311" s="6"/>
      <c r="G311" s="6"/>
    </row>
    <row r="312" spans="6:7" x14ac:dyDescent="0.3">
      <c r="F312" s="6"/>
      <c r="G312" s="6"/>
    </row>
    <row r="313" spans="6:7" x14ac:dyDescent="0.3">
      <c r="F313" s="6"/>
      <c r="G313" s="6"/>
    </row>
    <row r="314" spans="6:7" x14ac:dyDescent="0.3">
      <c r="F314" s="6"/>
      <c r="G314" s="6"/>
    </row>
    <row r="315" spans="6:7" x14ac:dyDescent="0.3">
      <c r="F315" s="6"/>
      <c r="G315" s="6"/>
    </row>
    <row r="316" spans="6:7" x14ac:dyDescent="0.3">
      <c r="F316" s="6"/>
      <c r="G316" s="6"/>
    </row>
    <row r="317" spans="6:7" x14ac:dyDescent="0.3">
      <c r="F317" s="6"/>
      <c r="G317" s="6"/>
    </row>
    <row r="318" spans="6:7" x14ac:dyDescent="0.3">
      <c r="F318" s="6"/>
      <c r="G318" s="6"/>
    </row>
    <row r="319" spans="6:7" x14ac:dyDescent="0.3">
      <c r="F319" s="6"/>
      <c r="G319" s="6"/>
    </row>
    <row r="320" spans="6:7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참조!$G$2:$G$3</xm:f>
          </x14:formula1>
          <xm:sqref>G303:G330</xm:sqref>
        </x14:dataValidation>
        <x14:dataValidation type="list" allowBlank="1" showInputMessage="1" showErrorMessage="1">
          <x14:formula1>
            <xm:f>참조!$F$2:$F$3</xm:f>
          </x14:formula1>
          <xm:sqref>F3:F330</xm:sqref>
        </x14:dataValidation>
        <x14:dataValidation type="list" allowBlank="1" showInputMessage="1" showErrorMessage="1">
          <x14:formula1>
            <xm:f>참조!$G:$G</xm:f>
          </x14:formula1>
          <xm:sqref>G3:G302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0"/>
  <sheetViews>
    <sheetView workbookViewId="0">
      <pane ySplit="2" topLeftCell="A3" activePane="bottomLeft" state="frozen"/>
      <selection activeCell="F17" sqref="F17"/>
      <selection pane="bottomLeft" activeCell="G3" sqref="G3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f>'2026년달력'!A1</f>
        <v>2026</v>
      </c>
    </row>
    <row r="2" spans="1:10" ht="14.25" thickBot="1" x14ac:dyDescent="0.35">
      <c r="A2" s="3" t="s">
        <v>1</v>
      </c>
      <c r="B2" s="3">
        <v>12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46357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46357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46357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46357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46357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46357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46357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46357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46357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46357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46358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46358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46358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46358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46358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46358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46358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46358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46358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46358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46359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46359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46359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46359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46359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46359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46359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46359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46359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46359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46360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46360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46360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46360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46360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46360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46360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46360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46360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46360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46361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46361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46361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46361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46361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46361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46361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46361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46361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46361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46362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46362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46362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46362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46362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46362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46362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46362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46362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46362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46363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46363</v>
      </c>
      <c r="F64" s="8"/>
      <c r="G64" s="8"/>
      <c r="H64" s="24"/>
      <c r="I64" s="7"/>
      <c r="J64" s="10"/>
    </row>
    <row r="65" spans="4:10" x14ac:dyDescent="0.3">
      <c r="D65" s="3">
        <v>7</v>
      </c>
      <c r="E65" s="9">
        <f t="shared" si="0"/>
        <v>46363</v>
      </c>
      <c r="F65" s="8"/>
      <c r="G65" s="8"/>
      <c r="H65" s="24"/>
      <c r="I65" s="7"/>
      <c r="J65" s="10"/>
    </row>
    <row r="66" spans="4:10" x14ac:dyDescent="0.3">
      <c r="D66" s="3">
        <v>7</v>
      </c>
      <c r="E66" s="9">
        <f t="shared" si="0"/>
        <v>46363</v>
      </c>
      <c r="F66" s="8"/>
      <c r="G66" s="8"/>
      <c r="H66" s="24"/>
      <c r="I66" s="7"/>
      <c r="J66" s="10"/>
    </row>
    <row r="67" spans="4:10" x14ac:dyDescent="0.3">
      <c r="D67" s="3">
        <v>7</v>
      </c>
      <c r="E67" s="9">
        <f t="shared" si="0"/>
        <v>46363</v>
      </c>
      <c r="F67" s="8"/>
      <c r="G67" s="8"/>
      <c r="H67" s="24"/>
      <c r="I67" s="7"/>
      <c r="J67" s="10"/>
    </row>
    <row r="68" spans="4:10" x14ac:dyDescent="0.3">
      <c r="D68" s="3">
        <v>7</v>
      </c>
      <c r="E68" s="9">
        <f t="shared" ref="E68:E131" si="1">DATE($B$1,$B$2,$D68)</f>
        <v>46363</v>
      </c>
      <c r="F68" s="8"/>
      <c r="G68" s="8"/>
      <c r="H68" s="24"/>
      <c r="I68" s="7"/>
      <c r="J68" s="10"/>
    </row>
    <row r="69" spans="4:10" x14ac:dyDescent="0.3">
      <c r="D69" s="3">
        <v>7</v>
      </c>
      <c r="E69" s="9">
        <f t="shared" si="1"/>
        <v>46363</v>
      </c>
      <c r="F69" s="8"/>
      <c r="G69" s="8"/>
      <c r="H69" s="24"/>
      <c r="I69" s="7"/>
      <c r="J69" s="10"/>
    </row>
    <row r="70" spans="4:10" x14ac:dyDescent="0.3">
      <c r="D70" s="3">
        <v>7</v>
      </c>
      <c r="E70" s="9">
        <f t="shared" si="1"/>
        <v>46363</v>
      </c>
      <c r="F70" s="8"/>
      <c r="G70" s="8"/>
      <c r="H70" s="24"/>
      <c r="I70" s="7"/>
      <c r="J70" s="10"/>
    </row>
    <row r="71" spans="4:10" x14ac:dyDescent="0.3">
      <c r="D71" s="3">
        <v>7</v>
      </c>
      <c r="E71" s="9">
        <f t="shared" si="1"/>
        <v>46363</v>
      </c>
      <c r="F71" s="8"/>
      <c r="G71" s="8"/>
      <c r="H71" s="24"/>
      <c r="I71" s="7"/>
      <c r="J71" s="10"/>
    </row>
    <row r="72" spans="4:10" x14ac:dyDescent="0.3">
      <c r="D72" s="3">
        <v>7</v>
      </c>
      <c r="E72" s="19">
        <f t="shared" si="1"/>
        <v>46363</v>
      </c>
      <c r="F72" s="20"/>
      <c r="G72" s="20"/>
      <c r="H72" s="25"/>
      <c r="I72" s="21"/>
      <c r="J72" s="22"/>
    </row>
    <row r="73" spans="4:10" x14ac:dyDescent="0.3">
      <c r="D73" s="3">
        <v>8</v>
      </c>
      <c r="E73" s="15">
        <f t="shared" si="1"/>
        <v>46364</v>
      </c>
      <c r="F73" s="16"/>
      <c r="G73" s="16"/>
      <c r="H73" s="23"/>
      <c r="I73" s="17"/>
      <c r="J73" s="18"/>
    </row>
    <row r="74" spans="4:10" x14ac:dyDescent="0.3">
      <c r="D74" s="3">
        <v>8</v>
      </c>
      <c r="E74" s="9">
        <f t="shared" si="1"/>
        <v>46364</v>
      </c>
      <c r="F74" s="8"/>
      <c r="G74" s="8"/>
      <c r="H74" s="24"/>
      <c r="I74" s="7"/>
      <c r="J74" s="10"/>
    </row>
    <row r="75" spans="4:10" x14ac:dyDescent="0.3">
      <c r="D75" s="3">
        <v>8</v>
      </c>
      <c r="E75" s="9">
        <f t="shared" si="1"/>
        <v>46364</v>
      </c>
      <c r="F75" s="8"/>
      <c r="G75" s="8"/>
      <c r="H75" s="24"/>
      <c r="I75" s="7"/>
      <c r="J75" s="10"/>
    </row>
    <row r="76" spans="4:10" x14ac:dyDescent="0.3">
      <c r="D76" s="3">
        <v>8</v>
      </c>
      <c r="E76" s="9">
        <f t="shared" si="1"/>
        <v>46364</v>
      </c>
      <c r="F76" s="8"/>
      <c r="G76" s="8"/>
      <c r="H76" s="24"/>
      <c r="I76" s="7"/>
      <c r="J76" s="10"/>
    </row>
    <row r="77" spans="4:10" x14ac:dyDescent="0.3">
      <c r="D77" s="3">
        <v>8</v>
      </c>
      <c r="E77" s="9">
        <f t="shared" si="1"/>
        <v>46364</v>
      </c>
      <c r="F77" s="8"/>
      <c r="G77" s="8"/>
      <c r="H77" s="24"/>
      <c r="I77" s="7"/>
      <c r="J77" s="10"/>
    </row>
    <row r="78" spans="4:10" x14ac:dyDescent="0.3">
      <c r="D78" s="3">
        <v>8</v>
      </c>
      <c r="E78" s="9">
        <f t="shared" si="1"/>
        <v>46364</v>
      </c>
      <c r="F78" s="8"/>
      <c r="G78" s="8"/>
      <c r="H78" s="24"/>
      <c r="I78" s="7"/>
      <c r="J78" s="10"/>
    </row>
    <row r="79" spans="4:10" x14ac:dyDescent="0.3">
      <c r="D79" s="3">
        <v>8</v>
      </c>
      <c r="E79" s="9">
        <f t="shared" si="1"/>
        <v>46364</v>
      </c>
      <c r="F79" s="8"/>
      <c r="G79" s="8"/>
      <c r="H79" s="24"/>
      <c r="I79" s="7"/>
      <c r="J79" s="10"/>
    </row>
    <row r="80" spans="4:10" x14ac:dyDescent="0.3">
      <c r="D80" s="3">
        <v>8</v>
      </c>
      <c r="E80" s="9">
        <f t="shared" si="1"/>
        <v>46364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46364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46364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46365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46365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46365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46365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46365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46365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46365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46365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46365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46365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46366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46366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46366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46366</v>
      </c>
      <c r="F96" s="8"/>
      <c r="G96" s="8"/>
      <c r="H96" s="24"/>
      <c r="I96" s="7"/>
      <c r="J96" s="10"/>
    </row>
    <row r="97" spans="4:10" x14ac:dyDescent="0.3">
      <c r="D97" s="3">
        <v>10</v>
      </c>
      <c r="E97" s="9">
        <f t="shared" si="1"/>
        <v>46366</v>
      </c>
      <c r="F97" s="8"/>
      <c r="G97" s="8"/>
      <c r="H97" s="24"/>
      <c r="I97" s="7"/>
      <c r="J97" s="10"/>
    </row>
    <row r="98" spans="4:10" x14ac:dyDescent="0.3">
      <c r="D98" s="3">
        <v>10</v>
      </c>
      <c r="E98" s="9">
        <f t="shared" si="1"/>
        <v>46366</v>
      </c>
      <c r="F98" s="8"/>
      <c r="G98" s="8"/>
      <c r="H98" s="24"/>
      <c r="I98" s="7"/>
      <c r="J98" s="10"/>
    </row>
    <row r="99" spans="4:10" x14ac:dyDescent="0.3">
      <c r="D99" s="3">
        <v>10</v>
      </c>
      <c r="E99" s="9">
        <f t="shared" si="1"/>
        <v>46366</v>
      </c>
      <c r="F99" s="8"/>
      <c r="G99" s="8"/>
      <c r="H99" s="24"/>
      <c r="I99" s="7"/>
      <c r="J99" s="10"/>
    </row>
    <row r="100" spans="4:10" x14ac:dyDescent="0.3">
      <c r="D100" s="3">
        <v>10</v>
      </c>
      <c r="E100" s="9">
        <f t="shared" si="1"/>
        <v>46366</v>
      </c>
      <c r="F100" s="8"/>
      <c r="G100" s="8"/>
      <c r="H100" s="24"/>
      <c r="I100" s="7"/>
      <c r="J100" s="10"/>
    </row>
    <row r="101" spans="4:10" x14ac:dyDescent="0.3">
      <c r="D101" s="3">
        <v>10</v>
      </c>
      <c r="E101" s="9">
        <f t="shared" si="1"/>
        <v>46366</v>
      </c>
      <c r="F101" s="8"/>
      <c r="G101" s="8"/>
      <c r="H101" s="24"/>
      <c r="I101" s="7"/>
      <c r="J101" s="10"/>
    </row>
    <row r="102" spans="4:10" x14ac:dyDescent="0.3">
      <c r="D102" s="3">
        <v>10</v>
      </c>
      <c r="E102" s="19">
        <f t="shared" si="1"/>
        <v>46366</v>
      </c>
      <c r="F102" s="20"/>
      <c r="G102" s="20"/>
      <c r="H102" s="25"/>
      <c r="I102" s="21"/>
      <c r="J102" s="22"/>
    </row>
    <row r="103" spans="4:10" x14ac:dyDescent="0.3">
      <c r="D103" s="3">
        <v>11</v>
      </c>
      <c r="E103" s="15">
        <f t="shared" si="1"/>
        <v>46367</v>
      </c>
      <c r="F103" s="16"/>
      <c r="G103" s="16"/>
      <c r="H103" s="23"/>
      <c r="I103" s="17"/>
      <c r="J103" s="18"/>
    </row>
    <row r="104" spans="4:10" x14ac:dyDescent="0.3">
      <c r="D104" s="3">
        <v>11</v>
      </c>
      <c r="E104" s="9">
        <f t="shared" si="1"/>
        <v>46367</v>
      </c>
      <c r="F104" s="8"/>
      <c r="G104" s="8"/>
      <c r="H104" s="24"/>
      <c r="I104" s="7"/>
      <c r="J104" s="10"/>
    </row>
    <row r="105" spans="4:10" x14ac:dyDescent="0.3">
      <c r="D105" s="3">
        <v>11</v>
      </c>
      <c r="E105" s="9">
        <f t="shared" si="1"/>
        <v>46367</v>
      </c>
      <c r="F105" s="8"/>
      <c r="G105" s="8"/>
      <c r="H105" s="24"/>
      <c r="I105" s="7"/>
      <c r="J105" s="10"/>
    </row>
    <row r="106" spans="4:10" x14ac:dyDescent="0.3">
      <c r="D106" s="3">
        <v>11</v>
      </c>
      <c r="E106" s="9">
        <f t="shared" si="1"/>
        <v>46367</v>
      </c>
      <c r="F106" s="8"/>
      <c r="G106" s="8"/>
      <c r="H106" s="24"/>
      <c r="I106" s="7"/>
      <c r="J106" s="10"/>
    </row>
    <row r="107" spans="4:10" x14ac:dyDescent="0.3">
      <c r="D107" s="3">
        <v>11</v>
      </c>
      <c r="E107" s="9">
        <f t="shared" si="1"/>
        <v>46367</v>
      </c>
      <c r="F107" s="8"/>
      <c r="G107" s="8"/>
      <c r="H107" s="24"/>
      <c r="I107" s="7"/>
      <c r="J107" s="10"/>
    </row>
    <row r="108" spans="4:10" x14ac:dyDescent="0.3">
      <c r="D108" s="3">
        <v>11</v>
      </c>
      <c r="E108" s="9">
        <f t="shared" si="1"/>
        <v>46367</v>
      </c>
      <c r="F108" s="8"/>
      <c r="G108" s="8"/>
      <c r="H108" s="24"/>
      <c r="I108" s="7"/>
      <c r="J108" s="10"/>
    </row>
    <row r="109" spans="4:10" x14ac:dyDescent="0.3">
      <c r="D109" s="3">
        <v>11</v>
      </c>
      <c r="E109" s="9">
        <f t="shared" si="1"/>
        <v>46367</v>
      </c>
      <c r="F109" s="8"/>
      <c r="G109" s="8"/>
      <c r="H109" s="24"/>
      <c r="I109" s="7"/>
      <c r="J109" s="10"/>
    </row>
    <row r="110" spans="4:10" x14ac:dyDescent="0.3">
      <c r="D110" s="3">
        <v>11</v>
      </c>
      <c r="E110" s="9">
        <f t="shared" si="1"/>
        <v>46367</v>
      </c>
      <c r="F110" s="8"/>
      <c r="G110" s="8"/>
      <c r="H110" s="24"/>
      <c r="I110" s="7"/>
      <c r="J110" s="10"/>
    </row>
    <row r="111" spans="4:10" x14ac:dyDescent="0.3">
      <c r="D111" s="3">
        <v>11</v>
      </c>
      <c r="E111" s="9">
        <f t="shared" si="1"/>
        <v>46367</v>
      </c>
      <c r="F111" s="8"/>
      <c r="G111" s="8"/>
      <c r="H111" s="24"/>
      <c r="I111" s="7"/>
      <c r="J111" s="10"/>
    </row>
    <row r="112" spans="4:10" x14ac:dyDescent="0.3">
      <c r="D112" s="3">
        <v>11</v>
      </c>
      <c r="E112" s="19">
        <f t="shared" si="1"/>
        <v>46367</v>
      </c>
      <c r="F112" s="20"/>
      <c r="G112" s="20"/>
      <c r="H112" s="25"/>
      <c r="I112" s="21"/>
      <c r="J112" s="22"/>
    </row>
    <row r="113" spans="4:10" x14ac:dyDescent="0.3">
      <c r="D113" s="3">
        <v>12</v>
      </c>
      <c r="E113" s="15">
        <f t="shared" si="1"/>
        <v>46368</v>
      </c>
      <c r="F113" s="16"/>
      <c r="G113" s="16"/>
      <c r="H113" s="23"/>
      <c r="I113" s="17"/>
      <c r="J113" s="18"/>
    </row>
    <row r="114" spans="4:10" x14ac:dyDescent="0.3">
      <c r="D114" s="3">
        <v>12</v>
      </c>
      <c r="E114" s="9">
        <f t="shared" si="1"/>
        <v>46368</v>
      </c>
      <c r="F114" s="8"/>
      <c r="G114" s="8"/>
      <c r="H114" s="24"/>
      <c r="I114" s="7"/>
      <c r="J114" s="10"/>
    </row>
    <row r="115" spans="4:10" x14ac:dyDescent="0.3">
      <c r="D115" s="3">
        <v>12</v>
      </c>
      <c r="E115" s="9">
        <f t="shared" si="1"/>
        <v>46368</v>
      </c>
      <c r="F115" s="8"/>
      <c r="G115" s="8"/>
      <c r="H115" s="24"/>
      <c r="I115" s="7"/>
      <c r="J115" s="10"/>
    </row>
    <row r="116" spans="4:10" x14ac:dyDescent="0.3">
      <c r="D116" s="3">
        <v>12</v>
      </c>
      <c r="E116" s="9">
        <f t="shared" si="1"/>
        <v>46368</v>
      </c>
      <c r="F116" s="8"/>
      <c r="G116" s="8"/>
      <c r="H116" s="24"/>
      <c r="I116" s="7"/>
      <c r="J116" s="10"/>
    </row>
    <row r="117" spans="4:10" x14ac:dyDescent="0.3">
      <c r="D117" s="3">
        <v>12</v>
      </c>
      <c r="E117" s="9">
        <f t="shared" si="1"/>
        <v>46368</v>
      </c>
      <c r="F117" s="8"/>
      <c r="G117" s="8"/>
      <c r="H117" s="24"/>
      <c r="I117" s="7"/>
      <c r="J117" s="10"/>
    </row>
    <row r="118" spans="4:10" x14ac:dyDescent="0.3">
      <c r="D118" s="3">
        <v>12</v>
      </c>
      <c r="E118" s="9">
        <f t="shared" si="1"/>
        <v>46368</v>
      </c>
      <c r="F118" s="8"/>
      <c r="G118" s="8"/>
      <c r="H118" s="24"/>
      <c r="I118" s="7"/>
      <c r="J118" s="10"/>
    </row>
    <row r="119" spans="4:10" x14ac:dyDescent="0.3">
      <c r="D119" s="3">
        <v>12</v>
      </c>
      <c r="E119" s="9">
        <f t="shared" si="1"/>
        <v>46368</v>
      </c>
      <c r="F119" s="8"/>
      <c r="G119" s="8"/>
      <c r="H119" s="24"/>
      <c r="I119" s="7"/>
      <c r="J119" s="10"/>
    </row>
    <row r="120" spans="4:10" x14ac:dyDescent="0.3">
      <c r="D120" s="3">
        <v>12</v>
      </c>
      <c r="E120" s="9">
        <f t="shared" si="1"/>
        <v>46368</v>
      </c>
      <c r="F120" s="8"/>
      <c r="G120" s="8"/>
      <c r="H120" s="24"/>
      <c r="I120" s="7"/>
      <c r="J120" s="10"/>
    </row>
    <row r="121" spans="4:10" x14ac:dyDescent="0.3">
      <c r="D121" s="3">
        <v>12</v>
      </c>
      <c r="E121" s="9">
        <f t="shared" si="1"/>
        <v>46368</v>
      </c>
      <c r="F121" s="8"/>
      <c r="G121" s="8"/>
      <c r="H121" s="24"/>
      <c r="I121" s="7"/>
      <c r="J121" s="10"/>
    </row>
    <row r="122" spans="4:10" x14ac:dyDescent="0.3">
      <c r="D122" s="3">
        <v>12</v>
      </c>
      <c r="E122" s="19">
        <f t="shared" si="1"/>
        <v>46368</v>
      </c>
      <c r="F122" s="20"/>
      <c r="G122" s="20"/>
      <c r="H122" s="25"/>
      <c r="I122" s="21"/>
      <c r="J122" s="22"/>
    </row>
    <row r="123" spans="4:10" x14ac:dyDescent="0.3">
      <c r="D123" s="3">
        <v>13</v>
      </c>
      <c r="E123" s="15">
        <f t="shared" si="1"/>
        <v>46369</v>
      </c>
      <c r="F123" s="16"/>
      <c r="G123" s="16"/>
      <c r="H123" s="23"/>
      <c r="I123" s="17"/>
      <c r="J123" s="18"/>
    </row>
    <row r="124" spans="4:10" x14ac:dyDescent="0.3">
      <c r="D124" s="3">
        <v>13</v>
      </c>
      <c r="E124" s="9">
        <f t="shared" si="1"/>
        <v>46369</v>
      </c>
      <c r="F124" s="8"/>
      <c r="G124" s="8"/>
      <c r="H124" s="24"/>
      <c r="I124" s="7"/>
      <c r="J124" s="10"/>
    </row>
    <row r="125" spans="4:10" x14ac:dyDescent="0.3">
      <c r="D125" s="3">
        <v>13</v>
      </c>
      <c r="E125" s="9">
        <f t="shared" si="1"/>
        <v>46369</v>
      </c>
      <c r="F125" s="8"/>
      <c r="G125" s="8"/>
      <c r="H125" s="24"/>
      <c r="I125" s="7"/>
      <c r="J125" s="10"/>
    </row>
    <row r="126" spans="4:10" x14ac:dyDescent="0.3">
      <c r="D126" s="3">
        <v>13</v>
      </c>
      <c r="E126" s="9">
        <f t="shared" si="1"/>
        <v>46369</v>
      </c>
      <c r="F126" s="8"/>
      <c r="G126" s="8"/>
      <c r="H126" s="24"/>
      <c r="I126" s="7"/>
      <c r="J126" s="10"/>
    </row>
    <row r="127" spans="4:10" x14ac:dyDescent="0.3">
      <c r="D127" s="3">
        <v>13</v>
      </c>
      <c r="E127" s="9">
        <f t="shared" si="1"/>
        <v>46369</v>
      </c>
      <c r="F127" s="8"/>
      <c r="G127" s="8"/>
      <c r="H127" s="24"/>
      <c r="I127" s="7"/>
      <c r="J127" s="10"/>
    </row>
    <row r="128" spans="4:10" x14ac:dyDescent="0.3">
      <c r="D128" s="3">
        <v>13</v>
      </c>
      <c r="E128" s="9">
        <f t="shared" si="1"/>
        <v>46369</v>
      </c>
      <c r="F128" s="8"/>
      <c r="G128" s="8"/>
      <c r="H128" s="24"/>
      <c r="I128" s="7"/>
      <c r="J128" s="10"/>
    </row>
    <row r="129" spans="4:10" x14ac:dyDescent="0.3">
      <c r="D129" s="3">
        <v>13</v>
      </c>
      <c r="E129" s="9">
        <f t="shared" si="1"/>
        <v>46369</v>
      </c>
      <c r="F129" s="8"/>
      <c r="G129" s="8"/>
      <c r="H129" s="24"/>
      <c r="I129" s="7"/>
      <c r="J129" s="10"/>
    </row>
    <row r="130" spans="4:10" x14ac:dyDescent="0.3">
      <c r="D130" s="3">
        <v>13</v>
      </c>
      <c r="E130" s="9">
        <f t="shared" si="1"/>
        <v>46369</v>
      </c>
      <c r="F130" s="8"/>
      <c r="G130" s="8"/>
      <c r="H130" s="24"/>
      <c r="I130" s="7"/>
      <c r="J130" s="10"/>
    </row>
    <row r="131" spans="4:10" x14ac:dyDescent="0.3">
      <c r="D131" s="3">
        <v>13</v>
      </c>
      <c r="E131" s="9">
        <f t="shared" si="1"/>
        <v>46369</v>
      </c>
      <c r="F131" s="8"/>
      <c r="G131" s="8"/>
      <c r="H131" s="24"/>
      <c r="I131" s="7"/>
      <c r="J131" s="10"/>
    </row>
    <row r="132" spans="4:10" x14ac:dyDescent="0.3">
      <c r="D132" s="3">
        <v>13</v>
      </c>
      <c r="E132" s="19">
        <f t="shared" ref="E132:E195" si="2">DATE($B$1,$B$2,$D132)</f>
        <v>46369</v>
      </c>
      <c r="F132" s="20"/>
      <c r="G132" s="20"/>
      <c r="H132" s="25"/>
      <c r="I132" s="21"/>
      <c r="J132" s="22"/>
    </row>
    <row r="133" spans="4:10" x14ac:dyDescent="0.3">
      <c r="D133" s="3">
        <v>14</v>
      </c>
      <c r="E133" s="15">
        <f t="shared" si="2"/>
        <v>46370</v>
      </c>
      <c r="F133" s="16"/>
      <c r="G133" s="16"/>
      <c r="H133" s="23"/>
      <c r="I133" s="17"/>
      <c r="J133" s="18"/>
    </row>
    <row r="134" spans="4:10" x14ac:dyDescent="0.3">
      <c r="D134" s="3">
        <v>14</v>
      </c>
      <c r="E134" s="9">
        <f t="shared" si="2"/>
        <v>46370</v>
      </c>
      <c r="F134" s="8"/>
      <c r="G134" s="8"/>
      <c r="H134" s="24"/>
      <c r="I134" s="7"/>
      <c r="J134" s="10"/>
    </row>
    <row r="135" spans="4:10" x14ac:dyDescent="0.3">
      <c r="D135" s="3">
        <v>14</v>
      </c>
      <c r="E135" s="9">
        <f t="shared" si="2"/>
        <v>46370</v>
      </c>
      <c r="F135" s="8"/>
      <c r="G135" s="8"/>
      <c r="H135" s="24"/>
      <c r="I135" s="7"/>
      <c r="J135" s="10"/>
    </row>
    <row r="136" spans="4:10" x14ac:dyDescent="0.3">
      <c r="D136" s="3">
        <v>14</v>
      </c>
      <c r="E136" s="9">
        <f t="shared" si="2"/>
        <v>46370</v>
      </c>
      <c r="F136" s="8"/>
      <c r="G136" s="8"/>
      <c r="H136" s="24"/>
      <c r="I136" s="7"/>
      <c r="J136" s="10"/>
    </row>
    <row r="137" spans="4:10" x14ac:dyDescent="0.3">
      <c r="D137" s="3">
        <v>14</v>
      </c>
      <c r="E137" s="9">
        <f t="shared" si="2"/>
        <v>46370</v>
      </c>
      <c r="F137" s="8"/>
      <c r="G137" s="8"/>
      <c r="H137" s="24"/>
      <c r="I137" s="7"/>
      <c r="J137" s="10"/>
    </row>
    <row r="138" spans="4:10" x14ac:dyDescent="0.3">
      <c r="D138" s="3">
        <v>14</v>
      </c>
      <c r="E138" s="9">
        <f t="shared" si="2"/>
        <v>46370</v>
      </c>
      <c r="F138" s="8"/>
      <c r="G138" s="8"/>
      <c r="H138" s="24"/>
      <c r="I138" s="7"/>
      <c r="J138" s="10"/>
    </row>
    <row r="139" spans="4:10" x14ac:dyDescent="0.3">
      <c r="D139" s="3">
        <v>14</v>
      </c>
      <c r="E139" s="9">
        <f t="shared" si="2"/>
        <v>46370</v>
      </c>
      <c r="F139" s="8"/>
      <c r="G139" s="8"/>
      <c r="H139" s="24"/>
      <c r="I139" s="7"/>
      <c r="J139" s="10"/>
    </row>
    <row r="140" spans="4:10" x14ac:dyDescent="0.3">
      <c r="D140" s="3">
        <v>14</v>
      </c>
      <c r="E140" s="9">
        <f t="shared" si="2"/>
        <v>46370</v>
      </c>
      <c r="F140" s="8"/>
      <c r="G140" s="8"/>
      <c r="H140" s="24"/>
      <c r="I140" s="7"/>
      <c r="J140" s="10"/>
    </row>
    <row r="141" spans="4:10" x14ac:dyDescent="0.3">
      <c r="D141" s="3">
        <v>14</v>
      </c>
      <c r="E141" s="9">
        <f t="shared" si="2"/>
        <v>46370</v>
      </c>
      <c r="F141" s="8"/>
      <c r="G141" s="8"/>
      <c r="H141" s="24"/>
      <c r="I141" s="7"/>
      <c r="J141" s="10"/>
    </row>
    <row r="142" spans="4:10" x14ac:dyDescent="0.3">
      <c r="D142" s="3">
        <v>14</v>
      </c>
      <c r="E142" s="19">
        <f t="shared" si="2"/>
        <v>46370</v>
      </c>
      <c r="F142" s="20"/>
      <c r="G142" s="20"/>
      <c r="H142" s="25"/>
      <c r="I142" s="21"/>
      <c r="J142" s="22"/>
    </row>
    <row r="143" spans="4:10" x14ac:dyDescent="0.3">
      <c r="D143" s="3">
        <v>15</v>
      </c>
      <c r="E143" s="15">
        <f t="shared" si="2"/>
        <v>46371</v>
      </c>
      <c r="F143" s="16"/>
      <c r="G143" s="16"/>
      <c r="H143" s="23"/>
      <c r="I143" s="17"/>
      <c r="J143" s="18"/>
    </row>
    <row r="144" spans="4:10" x14ac:dyDescent="0.3">
      <c r="D144" s="3">
        <v>15</v>
      </c>
      <c r="E144" s="9">
        <f t="shared" si="2"/>
        <v>46371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46371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46371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46371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46371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46371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46371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46371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46371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46372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46372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46372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46372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46372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46372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46372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46372</v>
      </c>
      <c r="F160" s="8"/>
      <c r="G160" s="8"/>
      <c r="H160" s="24"/>
      <c r="I160" s="7"/>
      <c r="J160" s="10"/>
    </row>
    <row r="161" spans="4:10" x14ac:dyDescent="0.3">
      <c r="D161" s="3">
        <v>16</v>
      </c>
      <c r="E161" s="9">
        <f t="shared" si="2"/>
        <v>46372</v>
      </c>
      <c r="F161" s="8"/>
      <c r="G161" s="8"/>
      <c r="H161" s="24"/>
      <c r="I161" s="7"/>
      <c r="J161" s="10"/>
    </row>
    <row r="162" spans="4:10" x14ac:dyDescent="0.3">
      <c r="D162" s="3">
        <v>16</v>
      </c>
      <c r="E162" s="19">
        <f t="shared" si="2"/>
        <v>46372</v>
      </c>
      <c r="F162" s="20"/>
      <c r="G162" s="20"/>
      <c r="H162" s="25"/>
      <c r="I162" s="21"/>
      <c r="J162" s="22"/>
    </row>
    <row r="163" spans="4:10" x14ac:dyDescent="0.3">
      <c r="D163" s="3">
        <v>17</v>
      </c>
      <c r="E163" s="15">
        <f t="shared" si="2"/>
        <v>46373</v>
      </c>
      <c r="F163" s="16"/>
      <c r="G163" s="16"/>
      <c r="H163" s="23"/>
      <c r="I163" s="17"/>
      <c r="J163" s="18"/>
    </row>
    <row r="164" spans="4:10" x14ac:dyDescent="0.3">
      <c r="D164" s="3">
        <v>17</v>
      </c>
      <c r="E164" s="9">
        <f t="shared" si="2"/>
        <v>46373</v>
      </c>
      <c r="F164" s="8"/>
      <c r="G164" s="8"/>
      <c r="H164" s="24"/>
      <c r="I164" s="7"/>
      <c r="J164" s="10"/>
    </row>
    <row r="165" spans="4:10" x14ac:dyDescent="0.3">
      <c r="D165" s="3">
        <v>17</v>
      </c>
      <c r="E165" s="9">
        <f t="shared" si="2"/>
        <v>46373</v>
      </c>
      <c r="F165" s="8"/>
      <c r="G165" s="8"/>
      <c r="H165" s="24"/>
      <c r="I165" s="7"/>
      <c r="J165" s="10"/>
    </row>
    <row r="166" spans="4:10" x14ac:dyDescent="0.3">
      <c r="D166" s="3">
        <v>17</v>
      </c>
      <c r="E166" s="9">
        <f t="shared" si="2"/>
        <v>46373</v>
      </c>
      <c r="F166" s="8"/>
      <c r="G166" s="8"/>
      <c r="H166" s="24"/>
      <c r="I166" s="7"/>
      <c r="J166" s="10"/>
    </row>
    <row r="167" spans="4:10" x14ac:dyDescent="0.3">
      <c r="D167" s="3">
        <v>17</v>
      </c>
      <c r="E167" s="9">
        <f t="shared" si="2"/>
        <v>46373</v>
      </c>
      <c r="F167" s="8"/>
      <c r="G167" s="8"/>
      <c r="H167" s="24"/>
      <c r="I167" s="7"/>
      <c r="J167" s="10"/>
    </row>
    <row r="168" spans="4:10" x14ac:dyDescent="0.3">
      <c r="D168" s="3">
        <v>17</v>
      </c>
      <c r="E168" s="9">
        <f t="shared" si="2"/>
        <v>46373</v>
      </c>
      <c r="F168" s="8"/>
      <c r="G168" s="8"/>
      <c r="H168" s="24"/>
      <c r="I168" s="7"/>
      <c r="J168" s="10"/>
    </row>
    <row r="169" spans="4:10" x14ac:dyDescent="0.3">
      <c r="D169" s="3">
        <v>17</v>
      </c>
      <c r="E169" s="9">
        <f t="shared" si="2"/>
        <v>46373</v>
      </c>
      <c r="F169" s="8"/>
      <c r="G169" s="8"/>
      <c r="H169" s="24"/>
      <c r="I169" s="7"/>
      <c r="J169" s="10"/>
    </row>
    <row r="170" spans="4:10" x14ac:dyDescent="0.3">
      <c r="D170" s="3">
        <v>17</v>
      </c>
      <c r="E170" s="9">
        <f t="shared" si="2"/>
        <v>46373</v>
      </c>
      <c r="F170" s="8"/>
      <c r="G170" s="8"/>
      <c r="H170" s="24"/>
      <c r="I170" s="7"/>
      <c r="J170" s="10"/>
    </row>
    <row r="171" spans="4:10" x14ac:dyDescent="0.3">
      <c r="D171" s="3">
        <v>17</v>
      </c>
      <c r="E171" s="9">
        <f t="shared" si="2"/>
        <v>46373</v>
      </c>
      <c r="F171" s="8"/>
      <c r="G171" s="8"/>
      <c r="H171" s="24"/>
      <c r="I171" s="7"/>
      <c r="J171" s="10"/>
    </row>
    <row r="172" spans="4:10" x14ac:dyDescent="0.3">
      <c r="D172" s="3">
        <v>17</v>
      </c>
      <c r="E172" s="19">
        <f t="shared" si="2"/>
        <v>46373</v>
      </c>
      <c r="F172" s="20"/>
      <c r="G172" s="20"/>
      <c r="H172" s="25"/>
      <c r="I172" s="21"/>
      <c r="J172" s="22"/>
    </row>
    <row r="173" spans="4:10" x14ac:dyDescent="0.3">
      <c r="D173" s="3">
        <v>18</v>
      </c>
      <c r="E173" s="15">
        <f t="shared" si="2"/>
        <v>46374</v>
      </c>
      <c r="F173" s="16"/>
      <c r="G173" s="16"/>
      <c r="H173" s="23"/>
      <c r="I173" s="17"/>
      <c r="J173" s="18"/>
    </row>
    <row r="174" spans="4:10" x14ac:dyDescent="0.3">
      <c r="D174" s="3">
        <v>18</v>
      </c>
      <c r="E174" s="9">
        <f t="shared" si="2"/>
        <v>46374</v>
      </c>
      <c r="F174" s="8"/>
      <c r="G174" s="8"/>
      <c r="H174" s="24"/>
      <c r="I174" s="7"/>
      <c r="J174" s="10"/>
    </row>
    <row r="175" spans="4:10" x14ac:dyDescent="0.3">
      <c r="D175" s="3">
        <v>18</v>
      </c>
      <c r="E175" s="9">
        <f t="shared" si="2"/>
        <v>46374</v>
      </c>
      <c r="F175" s="8"/>
      <c r="G175" s="8"/>
      <c r="H175" s="24"/>
      <c r="I175" s="7"/>
      <c r="J175" s="10"/>
    </row>
    <row r="176" spans="4:10" x14ac:dyDescent="0.3">
      <c r="D176" s="3">
        <v>18</v>
      </c>
      <c r="E176" s="9">
        <f t="shared" si="2"/>
        <v>46374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46374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46374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46374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46374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46374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46374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46375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46375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46375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46375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46375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46375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46375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46375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46375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46375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46376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46376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46376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46376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46376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46376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46376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46376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46376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46376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46377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46377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46377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46377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46377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46377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46377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46377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46377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46377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46378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46378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46378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46378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46378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46378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46378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46378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46378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46378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46379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46379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46379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46379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46379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46379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46379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46379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46379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46379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46380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46380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46380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46380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46380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46380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46380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46380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46380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46380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46381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46381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46381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46381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46381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46381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46381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46381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46381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46381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46382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46382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46382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46382</v>
      </c>
      <c r="F256" s="8"/>
      <c r="G256" s="8"/>
      <c r="H256" s="24"/>
      <c r="I256" s="7"/>
      <c r="J256" s="10"/>
    </row>
    <row r="257" spans="4:10" x14ac:dyDescent="0.3">
      <c r="D257" s="3">
        <v>26</v>
      </c>
      <c r="E257" s="9">
        <f t="shared" si="3"/>
        <v>46382</v>
      </c>
      <c r="F257" s="8"/>
      <c r="G257" s="8"/>
      <c r="H257" s="24"/>
      <c r="I257" s="7"/>
      <c r="J257" s="10"/>
    </row>
    <row r="258" spans="4:10" x14ac:dyDescent="0.3">
      <c r="D258" s="3">
        <v>26</v>
      </c>
      <c r="E258" s="9">
        <f t="shared" si="3"/>
        <v>46382</v>
      </c>
      <c r="F258" s="8"/>
      <c r="G258" s="8"/>
      <c r="H258" s="24"/>
      <c r="I258" s="7"/>
      <c r="J258" s="10"/>
    </row>
    <row r="259" spans="4:10" x14ac:dyDescent="0.3">
      <c r="D259" s="3">
        <v>26</v>
      </c>
      <c r="E259" s="9">
        <f t="shared" si="3"/>
        <v>46382</v>
      </c>
      <c r="F259" s="8"/>
      <c r="G259" s="8"/>
      <c r="H259" s="24"/>
      <c r="I259" s="7"/>
      <c r="J259" s="10"/>
    </row>
    <row r="260" spans="4:10" x14ac:dyDescent="0.3">
      <c r="D260" s="3">
        <v>26</v>
      </c>
      <c r="E260" s="9">
        <f t="shared" ref="E260:E312" si="4">DATE($B$1,$B$2,$D260)</f>
        <v>46382</v>
      </c>
      <c r="F260" s="8"/>
      <c r="G260" s="8"/>
      <c r="H260" s="24"/>
      <c r="I260" s="7"/>
      <c r="J260" s="10"/>
    </row>
    <row r="261" spans="4:10" x14ac:dyDescent="0.3">
      <c r="D261" s="3">
        <v>26</v>
      </c>
      <c r="E261" s="9">
        <f t="shared" si="4"/>
        <v>46382</v>
      </c>
      <c r="F261" s="8"/>
      <c r="G261" s="8"/>
      <c r="H261" s="24"/>
      <c r="I261" s="7"/>
      <c r="J261" s="10"/>
    </row>
    <row r="262" spans="4:10" x14ac:dyDescent="0.3">
      <c r="D262" s="3">
        <v>26</v>
      </c>
      <c r="E262" s="19">
        <f t="shared" si="4"/>
        <v>46382</v>
      </c>
      <c r="F262" s="20"/>
      <c r="G262" s="20"/>
      <c r="H262" s="25"/>
      <c r="I262" s="21"/>
      <c r="J262" s="22"/>
    </row>
    <row r="263" spans="4:10" x14ac:dyDescent="0.3">
      <c r="D263" s="3">
        <v>27</v>
      </c>
      <c r="E263" s="15">
        <f t="shared" si="4"/>
        <v>46383</v>
      </c>
      <c r="F263" s="16"/>
      <c r="G263" s="16"/>
      <c r="H263" s="23"/>
      <c r="I263" s="17"/>
      <c r="J263" s="18"/>
    </row>
    <row r="264" spans="4:10" x14ac:dyDescent="0.3">
      <c r="D264" s="3">
        <v>27</v>
      </c>
      <c r="E264" s="9">
        <f t="shared" si="4"/>
        <v>46383</v>
      </c>
      <c r="F264" s="8"/>
      <c r="G264" s="8"/>
      <c r="H264" s="24"/>
      <c r="I264" s="7"/>
      <c r="J264" s="10"/>
    </row>
    <row r="265" spans="4:10" x14ac:dyDescent="0.3">
      <c r="D265" s="3">
        <v>27</v>
      </c>
      <c r="E265" s="9">
        <f t="shared" si="4"/>
        <v>46383</v>
      </c>
      <c r="F265" s="8"/>
      <c r="G265" s="8"/>
      <c r="H265" s="24"/>
      <c r="I265" s="7"/>
      <c r="J265" s="10"/>
    </row>
    <row r="266" spans="4:10" x14ac:dyDescent="0.3">
      <c r="D266" s="3">
        <v>27</v>
      </c>
      <c r="E266" s="9">
        <f t="shared" si="4"/>
        <v>46383</v>
      </c>
      <c r="F266" s="8"/>
      <c r="G266" s="8"/>
      <c r="H266" s="24"/>
      <c r="I266" s="7"/>
      <c r="J266" s="10"/>
    </row>
    <row r="267" spans="4:10" x14ac:dyDescent="0.3">
      <c r="D267" s="3">
        <v>27</v>
      </c>
      <c r="E267" s="9">
        <f t="shared" si="4"/>
        <v>46383</v>
      </c>
      <c r="F267" s="8"/>
      <c r="G267" s="8"/>
      <c r="H267" s="24"/>
      <c r="I267" s="7"/>
      <c r="J267" s="10"/>
    </row>
    <row r="268" spans="4:10" x14ac:dyDescent="0.3">
      <c r="D268" s="3">
        <v>27</v>
      </c>
      <c r="E268" s="9">
        <f t="shared" si="4"/>
        <v>46383</v>
      </c>
      <c r="F268" s="8"/>
      <c r="G268" s="8"/>
      <c r="H268" s="24"/>
      <c r="I268" s="7"/>
      <c r="J268" s="10"/>
    </row>
    <row r="269" spans="4:10" x14ac:dyDescent="0.3">
      <c r="D269" s="3">
        <v>27</v>
      </c>
      <c r="E269" s="9">
        <f t="shared" si="4"/>
        <v>46383</v>
      </c>
      <c r="F269" s="8"/>
      <c r="G269" s="8"/>
      <c r="H269" s="24"/>
      <c r="I269" s="7"/>
      <c r="J269" s="10"/>
    </row>
    <row r="270" spans="4:10" x14ac:dyDescent="0.3">
      <c r="D270" s="3">
        <v>27</v>
      </c>
      <c r="E270" s="9">
        <f t="shared" si="4"/>
        <v>46383</v>
      </c>
      <c r="F270" s="8"/>
      <c r="G270" s="8"/>
      <c r="H270" s="24"/>
      <c r="I270" s="7"/>
      <c r="J270" s="10"/>
    </row>
    <row r="271" spans="4:10" x14ac:dyDescent="0.3">
      <c r="D271" s="3">
        <v>27</v>
      </c>
      <c r="E271" s="9">
        <f t="shared" si="4"/>
        <v>46383</v>
      </c>
      <c r="F271" s="8"/>
      <c r="G271" s="8"/>
      <c r="H271" s="24"/>
      <c r="I271" s="7"/>
      <c r="J271" s="10"/>
    </row>
    <row r="272" spans="4:10" x14ac:dyDescent="0.3">
      <c r="D272" s="3">
        <v>27</v>
      </c>
      <c r="E272" s="19">
        <f t="shared" si="4"/>
        <v>46383</v>
      </c>
      <c r="F272" s="20"/>
      <c r="G272" s="20"/>
      <c r="H272" s="25"/>
      <c r="I272" s="21"/>
      <c r="J272" s="22"/>
    </row>
    <row r="273" spans="4:10" x14ac:dyDescent="0.3">
      <c r="D273" s="3">
        <v>28</v>
      </c>
      <c r="E273" s="15">
        <f t="shared" si="4"/>
        <v>46384</v>
      </c>
      <c r="F273" s="16"/>
      <c r="G273" s="16"/>
      <c r="H273" s="23"/>
      <c r="I273" s="17"/>
      <c r="J273" s="18"/>
    </row>
    <row r="274" spans="4:10" x14ac:dyDescent="0.3">
      <c r="D274" s="3">
        <v>28</v>
      </c>
      <c r="E274" s="9">
        <f t="shared" si="4"/>
        <v>46384</v>
      </c>
      <c r="F274" s="8"/>
      <c r="G274" s="8"/>
      <c r="H274" s="24"/>
      <c r="I274" s="7"/>
      <c r="J274" s="10"/>
    </row>
    <row r="275" spans="4:10" x14ac:dyDescent="0.3">
      <c r="D275" s="3">
        <v>28</v>
      </c>
      <c r="E275" s="9">
        <f t="shared" si="4"/>
        <v>46384</v>
      </c>
      <c r="F275" s="8"/>
      <c r="G275" s="8"/>
      <c r="H275" s="24"/>
      <c r="I275" s="7"/>
      <c r="J275" s="10"/>
    </row>
    <row r="276" spans="4:10" x14ac:dyDescent="0.3">
      <c r="D276" s="3">
        <v>28</v>
      </c>
      <c r="E276" s="9">
        <f t="shared" si="4"/>
        <v>46384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46384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46384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46384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46384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46384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19">
        <f t="shared" si="4"/>
        <v>46384</v>
      </c>
      <c r="F282" s="20"/>
      <c r="G282" s="20"/>
      <c r="H282" s="25"/>
      <c r="I282" s="21"/>
      <c r="J282" s="22"/>
    </row>
    <row r="283" spans="4:10" x14ac:dyDescent="0.3">
      <c r="D283" s="3">
        <v>29</v>
      </c>
      <c r="E283" s="15">
        <f t="shared" si="4"/>
        <v>46385</v>
      </c>
      <c r="F283" s="16"/>
      <c r="G283" s="16"/>
      <c r="H283" s="23"/>
      <c r="I283" s="17"/>
      <c r="J283" s="18"/>
    </row>
    <row r="284" spans="4:10" x14ac:dyDescent="0.3">
      <c r="D284" s="3">
        <v>29</v>
      </c>
      <c r="E284" s="9">
        <f t="shared" si="4"/>
        <v>46385</v>
      </c>
      <c r="F284" s="8"/>
      <c r="G284" s="8"/>
      <c r="H284" s="24"/>
      <c r="I284" s="7"/>
      <c r="J284" s="10"/>
    </row>
    <row r="285" spans="4:10" x14ac:dyDescent="0.3">
      <c r="D285" s="3">
        <v>29</v>
      </c>
      <c r="E285" s="9">
        <f t="shared" si="4"/>
        <v>46385</v>
      </c>
      <c r="F285" s="8"/>
      <c r="G285" s="8"/>
      <c r="H285" s="24"/>
      <c r="I285" s="7"/>
      <c r="J285" s="10"/>
    </row>
    <row r="286" spans="4:10" x14ac:dyDescent="0.3">
      <c r="D286" s="3">
        <v>29</v>
      </c>
      <c r="E286" s="9">
        <f t="shared" si="4"/>
        <v>46385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46385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46385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46385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46385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46385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46385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46386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46386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46386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46386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46386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46386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46386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46386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46386</v>
      </c>
      <c r="F301" s="8"/>
      <c r="G301" s="8"/>
      <c r="H301" s="24"/>
      <c r="I301" s="7"/>
      <c r="J301" s="10"/>
    </row>
    <row r="302" spans="4:10" x14ac:dyDescent="0.3">
      <c r="D302" s="3">
        <v>30</v>
      </c>
      <c r="E302" s="19">
        <f t="shared" si="4"/>
        <v>46386</v>
      </c>
      <c r="F302" s="20"/>
      <c r="G302" s="20"/>
      <c r="H302" s="25"/>
      <c r="I302" s="21"/>
      <c r="J302" s="22"/>
    </row>
    <row r="303" spans="4:10" x14ac:dyDescent="0.3">
      <c r="D303" s="3">
        <v>31</v>
      </c>
      <c r="E303" s="15">
        <f t="shared" si="4"/>
        <v>46387</v>
      </c>
      <c r="F303" s="16"/>
      <c r="G303" s="16"/>
      <c r="H303" s="23"/>
      <c r="I303" s="17"/>
      <c r="J303" s="18"/>
    </row>
    <row r="304" spans="4:10" x14ac:dyDescent="0.3">
      <c r="D304" s="3">
        <v>31</v>
      </c>
      <c r="E304" s="9">
        <f t="shared" si="4"/>
        <v>46387</v>
      </c>
      <c r="F304" s="8"/>
      <c r="G304" s="8"/>
      <c r="H304" s="24"/>
      <c r="I304" s="7"/>
      <c r="J304" s="10"/>
    </row>
    <row r="305" spans="4:10" x14ac:dyDescent="0.3">
      <c r="D305" s="3">
        <v>31</v>
      </c>
      <c r="E305" s="9">
        <f t="shared" si="4"/>
        <v>46387</v>
      </c>
      <c r="F305" s="8"/>
      <c r="G305" s="8"/>
      <c r="H305" s="24"/>
      <c r="I305" s="7"/>
      <c r="J305" s="10"/>
    </row>
    <row r="306" spans="4:10" x14ac:dyDescent="0.3">
      <c r="D306" s="3">
        <v>31</v>
      </c>
      <c r="E306" s="9">
        <f t="shared" si="4"/>
        <v>46387</v>
      </c>
      <c r="F306" s="8"/>
      <c r="G306" s="8"/>
      <c r="H306" s="24"/>
      <c r="I306" s="7"/>
      <c r="J306" s="10"/>
    </row>
    <row r="307" spans="4:10" x14ac:dyDescent="0.3">
      <c r="D307" s="3">
        <v>31</v>
      </c>
      <c r="E307" s="9">
        <f t="shared" si="4"/>
        <v>46387</v>
      </c>
      <c r="F307" s="8"/>
      <c r="G307" s="8"/>
      <c r="H307" s="24"/>
      <c r="I307" s="7"/>
      <c r="J307" s="10"/>
    </row>
    <row r="308" spans="4:10" x14ac:dyDescent="0.3">
      <c r="D308" s="3">
        <v>31</v>
      </c>
      <c r="E308" s="9">
        <f t="shared" si="4"/>
        <v>46387</v>
      </c>
      <c r="F308" s="8"/>
      <c r="G308" s="8"/>
      <c r="H308" s="24"/>
      <c r="I308" s="7"/>
      <c r="J308" s="10"/>
    </row>
    <row r="309" spans="4:10" x14ac:dyDescent="0.3">
      <c r="D309" s="3">
        <v>31</v>
      </c>
      <c r="E309" s="9">
        <f t="shared" si="4"/>
        <v>46387</v>
      </c>
      <c r="F309" s="8"/>
      <c r="G309" s="8"/>
      <c r="H309" s="24"/>
      <c r="I309" s="7"/>
      <c r="J309" s="10"/>
    </row>
    <row r="310" spans="4:10" x14ac:dyDescent="0.3">
      <c r="D310" s="3">
        <v>31</v>
      </c>
      <c r="E310" s="9">
        <f t="shared" si="4"/>
        <v>46387</v>
      </c>
      <c r="F310" s="8"/>
      <c r="G310" s="8"/>
      <c r="H310" s="24"/>
      <c r="I310" s="7"/>
      <c r="J310" s="10"/>
    </row>
    <row r="311" spans="4:10" x14ac:dyDescent="0.3">
      <c r="D311" s="3">
        <v>31</v>
      </c>
      <c r="E311" s="9">
        <f t="shared" si="4"/>
        <v>46387</v>
      </c>
      <c r="F311" s="8"/>
      <c r="G311" s="8"/>
      <c r="H311" s="24"/>
      <c r="I311" s="7"/>
      <c r="J311" s="10"/>
    </row>
    <row r="312" spans="4:10" ht="14.25" thickBot="1" x14ac:dyDescent="0.35">
      <c r="D312" s="3">
        <v>31</v>
      </c>
      <c r="E312" s="11">
        <f t="shared" si="4"/>
        <v>46387</v>
      </c>
      <c r="F312" s="12"/>
      <c r="G312" s="12"/>
      <c r="H312" s="26"/>
      <c r="I312" s="13"/>
      <c r="J312" s="14"/>
    </row>
    <row r="313" spans="4:10" x14ac:dyDescent="0.3">
      <c r="F313" s="6"/>
      <c r="G313" s="6"/>
    </row>
    <row r="314" spans="4:10" x14ac:dyDescent="0.3">
      <c r="F314" s="6"/>
      <c r="G314" s="6"/>
    </row>
    <row r="315" spans="4:10" x14ac:dyDescent="0.3">
      <c r="F315" s="6"/>
      <c r="G315" s="6"/>
    </row>
    <row r="316" spans="4:10" x14ac:dyDescent="0.3">
      <c r="F316" s="6"/>
      <c r="G316" s="6"/>
    </row>
    <row r="317" spans="4:10" x14ac:dyDescent="0.3">
      <c r="F317" s="6"/>
      <c r="G317" s="6"/>
    </row>
    <row r="318" spans="4:10" x14ac:dyDescent="0.3">
      <c r="F318" s="6"/>
      <c r="G318" s="6"/>
    </row>
    <row r="319" spans="4:10" x14ac:dyDescent="0.3">
      <c r="F319" s="6"/>
      <c r="G319" s="6"/>
    </row>
    <row r="320" spans="4:10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  <row r="331" spans="6:7" x14ac:dyDescent="0.3">
      <c r="F331" s="6"/>
      <c r="G331" s="6"/>
    </row>
    <row r="332" spans="6:7" x14ac:dyDescent="0.3">
      <c r="F332" s="6"/>
      <c r="G332" s="6"/>
    </row>
    <row r="333" spans="6:7" x14ac:dyDescent="0.3">
      <c r="F333" s="6"/>
      <c r="G333" s="6"/>
    </row>
    <row r="334" spans="6:7" x14ac:dyDescent="0.3">
      <c r="F334" s="6"/>
      <c r="G334" s="6"/>
    </row>
    <row r="335" spans="6:7" x14ac:dyDescent="0.3">
      <c r="F335" s="6"/>
      <c r="G335" s="6"/>
    </row>
    <row r="336" spans="6:7" x14ac:dyDescent="0.3">
      <c r="F336" s="6"/>
      <c r="G336" s="6"/>
    </row>
    <row r="337" spans="6:7" x14ac:dyDescent="0.3">
      <c r="F337" s="6"/>
      <c r="G337" s="6"/>
    </row>
    <row r="338" spans="6:7" x14ac:dyDescent="0.3">
      <c r="F338" s="6"/>
      <c r="G338" s="6"/>
    </row>
    <row r="339" spans="6:7" x14ac:dyDescent="0.3">
      <c r="F339" s="6"/>
      <c r="G339" s="6"/>
    </row>
    <row r="340" spans="6:7" x14ac:dyDescent="0.3">
      <c r="F340" s="6"/>
      <c r="G34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참조!$G$2:$G$3</xm:f>
          </x14:formula1>
          <xm:sqref>G313:G340</xm:sqref>
        </x14:dataValidation>
        <x14:dataValidation type="list" allowBlank="1" showInputMessage="1" showErrorMessage="1">
          <x14:formula1>
            <xm:f>참조!$F$2:$F$3</xm:f>
          </x14:formula1>
          <xm:sqref>F3:F340</xm:sqref>
        </x14:dataValidation>
        <x14:dataValidation type="list" allowBlank="1" showInputMessage="1" showErrorMessage="1">
          <x14:formula1>
            <xm:f>참조!$G:$G</xm:f>
          </x14:formula1>
          <xm:sqref>G3:G312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0"/>
  <sheetViews>
    <sheetView workbookViewId="0">
      <selection activeCell="C3" sqref="C3"/>
    </sheetView>
  </sheetViews>
  <sheetFormatPr defaultRowHeight="13.5" x14ac:dyDescent="0.3"/>
  <cols>
    <col min="1" max="1" width="4.6640625" style="3" bestFit="1" customWidth="1"/>
    <col min="2" max="2" width="4.88671875" style="3" bestFit="1" customWidth="1"/>
    <col min="3" max="3" width="3.77734375" style="3" customWidth="1"/>
    <col min="4" max="4" width="3.109375" style="3" hidden="1" customWidth="1"/>
    <col min="5" max="5" width="9.77734375" style="5" bestFit="1" customWidth="1"/>
    <col min="6" max="7" width="4.6640625" style="3" customWidth="1"/>
    <col min="8" max="8" width="12" style="3" customWidth="1"/>
    <col min="9" max="9" width="36.88671875" style="3" customWidth="1"/>
    <col min="10" max="10" width="26.5546875" style="3" customWidth="1"/>
    <col min="11" max="16384" width="8.88671875" style="3"/>
  </cols>
  <sheetData>
    <row r="1" spans="1:10" ht="14.25" thickBot="1" x14ac:dyDescent="0.35">
      <c r="A1" s="3" t="s">
        <v>22</v>
      </c>
      <c r="B1" s="3">
        <v>2025</v>
      </c>
    </row>
    <row r="2" spans="1:10" ht="14.25" thickBot="1" x14ac:dyDescent="0.35">
      <c r="A2" s="3" t="s">
        <v>1</v>
      </c>
      <c r="B2" s="3">
        <v>1</v>
      </c>
      <c r="E2" s="27" t="s">
        <v>24</v>
      </c>
      <c r="F2" s="28" t="s">
        <v>15</v>
      </c>
      <c r="G2" s="28" t="s">
        <v>21</v>
      </c>
      <c r="H2" s="28" t="s">
        <v>20</v>
      </c>
      <c r="I2" s="28" t="s">
        <v>19</v>
      </c>
      <c r="J2" s="29" t="s">
        <v>23</v>
      </c>
    </row>
    <row r="3" spans="1:10" x14ac:dyDescent="0.3">
      <c r="D3" s="3">
        <v>1</v>
      </c>
      <c r="E3" s="15">
        <f>DATE($B$1,$B$2,$D3)</f>
        <v>45658</v>
      </c>
      <c r="F3" s="16"/>
      <c r="G3" s="16"/>
      <c r="H3" s="23"/>
      <c r="I3" s="17"/>
      <c r="J3" s="18"/>
    </row>
    <row r="4" spans="1:10" x14ac:dyDescent="0.3">
      <c r="D4" s="3">
        <v>1</v>
      </c>
      <c r="E4" s="9">
        <f t="shared" ref="E4:E67" si="0">DATE($B$1,$B$2,$D4)</f>
        <v>45658</v>
      </c>
      <c r="F4" s="8"/>
      <c r="G4" s="8"/>
      <c r="H4" s="24"/>
      <c r="I4" s="7"/>
      <c r="J4" s="10"/>
    </row>
    <row r="5" spans="1:10" x14ac:dyDescent="0.3">
      <c r="D5" s="3">
        <v>1</v>
      </c>
      <c r="E5" s="9">
        <f t="shared" si="0"/>
        <v>45658</v>
      </c>
      <c r="F5" s="8"/>
      <c r="G5" s="8"/>
      <c r="H5" s="24"/>
      <c r="I5" s="7"/>
      <c r="J5" s="10"/>
    </row>
    <row r="6" spans="1:10" x14ac:dyDescent="0.3">
      <c r="D6" s="3">
        <v>1</v>
      </c>
      <c r="E6" s="9">
        <f t="shared" si="0"/>
        <v>45658</v>
      </c>
      <c r="F6" s="8"/>
      <c r="G6" s="8"/>
      <c r="H6" s="24"/>
      <c r="I6" s="7"/>
      <c r="J6" s="10"/>
    </row>
    <row r="7" spans="1:10" x14ac:dyDescent="0.3">
      <c r="D7" s="3">
        <v>1</v>
      </c>
      <c r="E7" s="9">
        <f t="shared" si="0"/>
        <v>45658</v>
      </c>
      <c r="F7" s="8"/>
      <c r="G7" s="8"/>
      <c r="H7" s="24"/>
      <c r="I7" s="7"/>
      <c r="J7" s="10"/>
    </row>
    <row r="8" spans="1:10" x14ac:dyDescent="0.3">
      <c r="D8" s="3">
        <v>1</v>
      </c>
      <c r="E8" s="9">
        <f t="shared" si="0"/>
        <v>45658</v>
      </c>
      <c r="F8" s="8"/>
      <c r="G8" s="8"/>
      <c r="H8" s="24"/>
      <c r="I8" s="7"/>
      <c r="J8" s="10"/>
    </row>
    <row r="9" spans="1:10" x14ac:dyDescent="0.3">
      <c r="D9" s="3">
        <v>1</v>
      </c>
      <c r="E9" s="9">
        <f t="shared" si="0"/>
        <v>45658</v>
      </c>
      <c r="F9" s="8"/>
      <c r="G9" s="8"/>
      <c r="H9" s="24"/>
      <c r="I9" s="7"/>
      <c r="J9" s="10"/>
    </row>
    <row r="10" spans="1:10" x14ac:dyDescent="0.3">
      <c r="D10" s="3">
        <v>1</v>
      </c>
      <c r="E10" s="9">
        <f t="shared" si="0"/>
        <v>45658</v>
      </c>
      <c r="F10" s="8"/>
      <c r="G10" s="8"/>
      <c r="H10" s="24"/>
      <c r="I10" s="7"/>
      <c r="J10" s="10"/>
    </row>
    <row r="11" spans="1:10" x14ac:dyDescent="0.3">
      <c r="D11" s="3">
        <v>1</v>
      </c>
      <c r="E11" s="9">
        <f t="shared" si="0"/>
        <v>45658</v>
      </c>
      <c r="F11" s="8"/>
      <c r="G11" s="8"/>
      <c r="H11" s="24"/>
      <c r="I11" s="7"/>
      <c r="J11" s="10"/>
    </row>
    <row r="12" spans="1:10" x14ac:dyDescent="0.3">
      <c r="D12" s="3">
        <v>1</v>
      </c>
      <c r="E12" s="19">
        <f t="shared" si="0"/>
        <v>45658</v>
      </c>
      <c r="F12" s="20"/>
      <c r="G12" s="20"/>
      <c r="H12" s="25"/>
      <c r="I12" s="21"/>
      <c r="J12" s="22"/>
    </row>
    <row r="13" spans="1:10" x14ac:dyDescent="0.3">
      <c r="D13" s="3">
        <v>2</v>
      </c>
      <c r="E13" s="15">
        <f t="shared" si="0"/>
        <v>45659</v>
      </c>
      <c r="F13" s="16"/>
      <c r="G13" s="16"/>
      <c r="H13" s="23"/>
      <c r="I13" s="17"/>
      <c r="J13" s="18"/>
    </row>
    <row r="14" spans="1:10" x14ac:dyDescent="0.3">
      <c r="D14" s="3">
        <v>2</v>
      </c>
      <c r="E14" s="9">
        <f t="shared" si="0"/>
        <v>45659</v>
      </c>
      <c r="F14" s="8"/>
      <c r="G14" s="8"/>
      <c r="H14" s="24"/>
      <c r="I14" s="7"/>
      <c r="J14" s="10"/>
    </row>
    <row r="15" spans="1:10" x14ac:dyDescent="0.3">
      <c r="D15" s="3">
        <v>2</v>
      </c>
      <c r="E15" s="9">
        <f t="shared" si="0"/>
        <v>45659</v>
      </c>
      <c r="F15" s="8"/>
      <c r="G15" s="8"/>
      <c r="H15" s="24"/>
      <c r="I15" s="7"/>
      <c r="J15" s="10"/>
    </row>
    <row r="16" spans="1:10" x14ac:dyDescent="0.3">
      <c r="D16" s="3">
        <v>2</v>
      </c>
      <c r="E16" s="9">
        <f t="shared" si="0"/>
        <v>45659</v>
      </c>
      <c r="F16" s="8"/>
      <c r="G16" s="8"/>
      <c r="H16" s="24"/>
      <c r="I16" s="7"/>
      <c r="J16" s="10"/>
    </row>
    <row r="17" spans="4:10" x14ac:dyDescent="0.3">
      <c r="D17" s="3">
        <v>2</v>
      </c>
      <c r="E17" s="9">
        <f t="shared" si="0"/>
        <v>45659</v>
      </c>
      <c r="F17" s="8"/>
      <c r="G17" s="8"/>
      <c r="H17" s="24"/>
      <c r="I17" s="7"/>
      <c r="J17" s="10"/>
    </row>
    <row r="18" spans="4:10" x14ac:dyDescent="0.3">
      <c r="D18" s="3">
        <v>2</v>
      </c>
      <c r="E18" s="9">
        <f t="shared" si="0"/>
        <v>45659</v>
      </c>
      <c r="F18" s="8"/>
      <c r="G18" s="8"/>
      <c r="H18" s="24"/>
      <c r="I18" s="7"/>
      <c r="J18" s="10"/>
    </row>
    <row r="19" spans="4:10" x14ac:dyDescent="0.3">
      <c r="D19" s="3">
        <v>2</v>
      </c>
      <c r="E19" s="9">
        <f t="shared" si="0"/>
        <v>45659</v>
      </c>
      <c r="F19" s="8"/>
      <c r="G19" s="8"/>
      <c r="H19" s="24"/>
      <c r="I19" s="7"/>
      <c r="J19" s="10"/>
    </row>
    <row r="20" spans="4:10" x14ac:dyDescent="0.3">
      <c r="D20" s="3">
        <v>2</v>
      </c>
      <c r="E20" s="9">
        <f t="shared" si="0"/>
        <v>45659</v>
      </c>
      <c r="F20" s="8"/>
      <c r="G20" s="8"/>
      <c r="H20" s="24"/>
      <c r="I20" s="7"/>
      <c r="J20" s="10"/>
    </row>
    <row r="21" spans="4:10" x14ac:dyDescent="0.3">
      <c r="D21" s="3">
        <v>2</v>
      </c>
      <c r="E21" s="9">
        <f t="shared" si="0"/>
        <v>45659</v>
      </c>
      <c r="F21" s="8"/>
      <c r="G21" s="8"/>
      <c r="H21" s="24"/>
      <c r="I21" s="7"/>
      <c r="J21" s="10"/>
    </row>
    <row r="22" spans="4:10" x14ac:dyDescent="0.3">
      <c r="D22" s="3">
        <v>2</v>
      </c>
      <c r="E22" s="19">
        <f t="shared" si="0"/>
        <v>45659</v>
      </c>
      <c r="F22" s="20"/>
      <c r="G22" s="20"/>
      <c r="H22" s="25"/>
      <c r="I22" s="21"/>
      <c r="J22" s="22"/>
    </row>
    <row r="23" spans="4:10" x14ac:dyDescent="0.3">
      <c r="D23" s="3">
        <v>3</v>
      </c>
      <c r="E23" s="15">
        <f t="shared" si="0"/>
        <v>45660</v>
      </c>
      <c r="F23" s="16"/>
      <c r="G23" s="16"/>
      <c r="H23" s="23"/>
      <c r="I23" s="17"/>
      <c r="J23" s="18"/>
    </row>
    <row r="24" spans="4:10" x14ac:dyDescent="0.3">
      <c r="D24" s="3">
        <v>3</v>
      </c>
      <c r="E24" s="9">
        <f t="shared" si="0"/>
        <v>45660</v>
      </c>
      <c r="F24" s="8"/>
      <c r="G24" s="8"/>
      <c r="H24" s="24"/>
      <c r="I24" s="7"/>
      <c r="J24" s="10"/>
    </row>
    <row r="25" spans="4:10" x14ac:dyDescent="0.3">
      <c r="D25" s="3">
        <v>3</v>
      </c>
      <c r="E25" s="9">
        <f t="shared" si="0"/>
        <v>45660</v>
      </c>
      <c r="F25" s="8"/>
      <c r="G25" s="8"/>
      <c r="H25" s="24"/>
      <c r="I25" s="7"/>
      <c r="J25" s="10"/>
    </row>
    <row r="26" spans="4:10" x14ac:dyDescent="0.3">
      <c r="D26" s="3">
        <v>3</v>
      </c>
      <c r="E26" s="9">
        <f t="shared" si="0"/>
        <v>45660</v>
      </c>
      <c r="F26" s="8"/>
      <c r="G26" s="8"/>
      <c r="H26" s="24"/>
      <c r="I26" s="7"/>
      <c r="J26" s="10"/>
    </row>
    <row r="27" spans="4:10" x14ac:dyDescent="0.3">
      <c r="D27" s="3">
        <v>3</v>
      </c>
      <c r="E27" s="9">
        <f t="shared" si="0"/>
        <v>45660</v>
      </c>
      <c r="F27" s="8"/>
      <c r="G27" s="8"/>
      <c r="H27" s="24"/>
      <c r="I27" s="7"/>
      <c r="J27" s="10"/>
    </row>
    <row r="28" spans="4:10" x14ac:dyDescent="0.3">
      <c r="D28" s="3">
        <v>3</v>
      </c>
      <c r="E28" s="9">
        <f t="shared" si="0"/>
        <v>45660</v>
      </c>
      <c r="F28" s="8"/>
      <c r="G28" s="8"/>
      <c r="H28" s="24"/>
      <c r="I28" s="7"/>
      <c r="J28" s="10"/>
    </row>
    <row r="29" spans="4:10" x14ac:dyDescent="0.3">
      <c r="D29" s="3">
        <v>3</v>
      </c>
      <c r="E29" s="9">
        <f t="shared" si="0"/>
        <v>45660</v>
      </c>
      <c r="F29" s="8"/>
      <c r="G29" s="8"/>
      <c r="H29" s="24"/>
      <c r="I29" s="7"/>
      <c r="J29" s="10"/>
    </row>
    <row r="30" spans="4:10" x14ac:dyDescent="0.3">
      <c r="D30" s="3">
        <v>3</v>
      </c>
      <c r="E30" s="9">
        <f t="shared" si="0"/>
        <v>45660</v>
      </c>
      <c r="F30" s="8"/>
      <c r="G30" s="8"/>
      <c r="H30" s="24"/>
      <c r="I30" s="7"/>
      <c r="J30" s="10"/>
    </row>
    <row r="31" spans="4:10" x14ac:dyDescent="0.3">
      <c r="D31" s="3">
        <v>3</v>
      </c>
      <c r="E31" s="9">
        <f t="shared" si="0"/>
        <v>45660</v>
      </c>
      <c r="F31" s="8"/>
      <c r="G31" s="8"/>
      <c r="H31" s="24"/>
      <c r="I31" s="7"/>
      <c r="J31" s="10"/>
    </row>
    <row r="32" spans="4:10" x14ac:dyDescent="0.3">
      <c r="D32" s="3">
        <v>3</v>
      </c>
      <c r="E32" s="19">
        <f t="shared" si="0"/>
        <v>45660</v>
      </c>
      <c r="F32" s="20"/>
      <c r="G32" s="20"/>
      <c r="H32" s="25"/>
      <c r="I32" s="21"/>
      <c r="J32" s="22"/>
    </row>
    <row r="33" spans="4:10" x14ac:dyDescent="0.3">
      <c r="D33" s="3">
        <v>4</v>
      </c>
      <c r="E33" s="15">
        <f t="shared" si="0"/>
        <v>45661</v>
      </c>
      <c r="F33" s="16"/>
      <c r="G33" s="16"/>
      <c r="H33" s="23"/>
      <c r="I33" s="17"/>
      <c r="J33" s="18"/>
    </row>
    <row r="34" spans="4:10" x14ac:dyDescent="0.3">
      <c r="D34" s="3">
        <v>4</v>
      </c>
      <c r="E34" s="9">
        <f t="shared" si="0"/>
        <v>45661</v>
      </c>
      <c r="F34" s="8"/>
      <c r="G34" s="8"/>
      <c r="H34" s="24"/>
      <c r="I34" s="7"/>
      <c r="J34" s="10"/>
    </row>
    <row r="35" spans="4:10" x14ac:dyDescent="0.3">
      <c r="D35" s="3">
        <v>4</v>
      </c>
      <c r="E35" s="9">
        <f t="shared" si="0"/>
        <v>45661</v>
      </c>
      <c r="F35" s="8"/>
      <c r="G35" s="8"/>
      <c r="H35" s="24"/>
      <c r="I35" s="7"/>
      <c r="J35" s="10"/>
    </row>
    <row r="36" spans="4:10" x14ac:dyDescent="0.3">
      <c r="D36" s="3">
        <v>4</v>
      </c>
      <c r="E36" s="9">
        <f t="shared" si="0"/>
        <v>45661</v>
      </c>
      <c r="F36" s="8"/>
      <c r="G36" s="8"/>
      <c r="H36" s="24"/>
      <c r="I36" s="7"/>
      <c r="J36" s="10"/>
    </row>
    <row r="37" spans="4:10" x14ac:dyDescent="0.3">
      <c r="D37" s="3">
        <v>4</v>
      </c>
      <c r="E37" s="9">
        <f t="shared" si="0"/>
        <v>45661</v>
      </c>
      <c r="F37" s="8"/>
      <c r="G37" s="8"/>
      <c r="H37" s="24"/>
      <c r="I37" s="7"/>
      <c r="J37" s="10"/>
    </row>
    <row r="38" spans="4:10" x14ac:dyDescent="0.3">
      <c r="D38" s="3">
        <v>4</v>
      </c>
      <c r="E38" s="9">
        <f t="shared" si="0"/>
        <v>45661</v>
      </c>
      <c r="F38" s="8"/>
      <c r="G38" s="8"/>
      <c r="H38" s="24"/>
      <c r="I38" s="7"/>
      <c r="J38" s="10"/>
    </row>
    <row r="39" spans="4:10" x14ac:dyDescent="0.3">
      <c r="D39" s="3">
        <v>4</v>
      </c>
      <c r="E39" s="9">
        <f t="shared" si="0"/>
        <v>45661</v>
      </c>
      <c r="F39" s="8"/>
      <c r="G39" s="8"/>
      <c r="H39" s="24"/>
      <c r="I39" s="7"/>
      <c r="J39" s="10"/>
    </row>
    <row r="40" spans="4:10" x14ac:dyDescent="0.3">
      <c r="D40" s="3">
        <v>4</v>
      </c>
      <c r="E40" s="9">
        <f t="shared" si="0"/>
        <v>45661</v>
      </c>
      <c r="F40" s="8"/>
      <c r="G40" s="8"/>
      <c r="H40" s="24"/>
      <c r="I40" s="7"/>
      <c r="J40" s="10"/>
    </row>
    <row r="41" spans="4:10" x14ac:dyDescent="0.3">
      <c r="D41" s="3">
        <v>4</v>
      </c>
      <c r="E41" s="9">
        <f t="shared" si="0"/>
        <v>45661</v>
      </c>
      <c r="F41" s="8"/>
      <c r="G41" s="8"/>
      <c r="H41" s="24"/>
      <c r="I41" s="7"/>
      <c r="J41" s="10"/>
    </row>
    <row r="42" spans="4:10" x14ac:dyDescent="0.3">
      <c r="D42" s="3">
        <v>4</v>
      </c>
      <c r="E42" s="19">
        <f t="shared" si="0"/>
        <v>45661</v>
      </c>
      <c r="F42" s="20"/>
      <c r="G42" s="20"/>
      <c r="H42" s="25"/>
      <c r="I42" s="21"/>
      <c r="J42" s="22"/>
    </row>
    <row r="43" spans="4:10" x14ac:dyDescent="0.3">
      <c r="D43" s="3">
        <v>5</v>
      </c>
      <c r="E43" s="15">
        <f t="shared" si="0"/>
        <v>45662</v>
      </c>
      <c r="F43" s="16"/>
      <c r="G43" s="16"/>
      <c r="H43" s="23"/>
      <c r="I43" s="17"/>
      <c r="J43" s="18"/>
    </row>
    <row r="44" spans="4:10" x14ac:dyDescent="0.3">
      <c r="D44" s="3">
        <v>5</v>
      </c>
      <c r="E44" s="9">
        <f t="shared" si="0"/>
        <v>45662</v>
      </c>
      <c r="F44" s="8"/>
      <c r="G44" s="8"/>
      <c r="H44" s="24"/>
      <c r="I44" s="7"/>
      <c r="J44" s="10"/>
    </row>
    <row r="45" spans="4:10" x14ac:dyDescent="0.3">
      <c r="D45" s="3">
        <v>5</v>
      </c>
      <c r="E45" s="9">
        <f t="shared" si="0"/>
        <v>45662</v>
      </c>
      <c r="F45" s="8"/>
      <c r="G45" s="8"/>
      <c r="H45" s="24"/>
      <c r="I45" s="7"/>
      <c r="J45" s="10"/>
    </row>
    <row r="46" spans="4:10" x14ac:dyDescent="0.3">
      <c r="D46" s="3">
        <v>5</v>
      </c>
      <c r="E46" s="9">
        <f t="shared" si="0"/>
        <v>45662</v>
      </c>
      <c r="F46" s="8"/>
      <c r="G46" s="8"/>
      <c r="H46" s="24"/>
      <c r="I46" s="7"/>
      <c r="J46" s="10"/>
    </row>
    <row r="47" spans="4:10" x14ac:dyDescent="0.3">
      <c r="D47" s="3">
        <v>5</v>
      </c>
      <c r="E47" s="9">
        <f t="shared" si="0"/>
        <v>45662</v>
      </c>
      <c r="F47" s="8"/>
      <c r="G47" s="8"/>
      <c r="H47" s="24"/>
      <c r="I47" s="7"/>
      <c r="J47" s="10"/>
    </row>
    <row r="48" spans="4:10" x14ac:dyDescent="0.3">
      <c r="D48" s="3">
        <v>5</v>
      </c>
      <c r="E48" s="9">
        <f t="shared" si="0"/>
        <v>45662</v>
      </c>
      <c r="F48" s="8"/>
      <c r="G48" s="8"/>
      <c r="H48" s="24"/>
      <c r="I48" s="7"/>
      <c r="J48" s="10"/>
    </row>
    <row r="49" spans="4:10" x14ac:dyDescent="0.3">
      <c r="D49" s="3">
        <v>5</v>
      </c>
      <c r="E49" s="9">
        <f t="shared" si="0"/>
        <v>45662</v>
      </c>
      <c r="F49" s="8"/>
      <c r="G49" s="8"/>
      <c r="H49" s="24"/>
      <c r="I49" s="7"/>
      <c r="J49" s="10"/>
    </row>
    <row r="50" spans="4:10" x14ac:dyDescent="0.3">
      <c r="D50" s="3">
        <v>5</v>
      </c>
      <c r="E50" s="9">
        <f t="shared" si="0"/>
        <v>45662</v>
      </c>
      <c r="F50" s="8"/>
      <c r="G50" s="8"/>
      <c r="H50" s="24"/>
      <c r="I50" s="7"/>
      <c r="J50" s="10"/>
    </row>
    <row r="51" spans="4:10" x14ac:dyDescent="0.3">
      <c r="D51" s="3">
        <v>5</v>
      </c>
      <c r="E51" s="9">
        <f t="shared" si="0"/>
        <v>45662</v>
      </c>
      <c r="F51" s="8"/>
      <c r="G51" s="8"/>
      <c r="H51" s="24"/>
      <c r="I51" s="7"/>
      <c r="J51" s="10"/>
    </row>
    <row r="52" spans="4:10" x14ac:dyDescent="0.3">
      <c r="D52" s="3">
        <v>5</v>
      </c>
      <c r="E52" s="19">
        <f t="shared" si="0"/>
        <v>45662</v>
      </c>
      <c r="F52" s="20"/>
      <c r="G52" s="20"/>
      <c r="H52" s="25"/>
      <c r="I52" s="21"/>
      <c r="J52" s="22"/>
    </row>
    <row r="53" spans="4:10" x14ac:dyDescent="0.3">
      <c r="D53" s="3">
        <v>6</v>
      </c>
      <c r="E53" s="15">
        <f t="shared" si="0"/>
        <v>45663</v>
      </c>
      <c r="F53" s="16"/>
      <c r="G53" s="16"/>
      <c r="H53" s="23"/>
      <c r="I53" s="17"/>
      <c r="J53" s="18"/>
    </row>
    <row r="54" spans="4:10" x14ac:dyDescent="0.3">
      <c r="D54" s="3">
        <v>6</v>
      </c>
      <c r="E54" s="9">
        <f t="shared" si="0"/>
        <v>45663</v>
      </c>
      <c r="F54" s="8"/>
      <c r="G54" s="8"/>
      <c r="H54" s="24"/>
      <c r="I54" s="7"/>
      <c r="J54" s="10"/>
    </row>
    <row r="55" spans="4:10" x14ac:dyDescent="0.3">
      <c r="D55" s="3">
        <v>6</v>
      </c>
      <c r="E55" s="9">
        <f t="shared" si="0"/>
        <v>45663</v>
      </c>
      <c r="F55" s="8"/>
      <c r="G55" s="8"/>
      <c r="H55" s="24"/>
      <c r="I55" s="7"/>
      <c r="J55" s="10"/>
    </row>
    <row r="56" spans="4:10" x14ac:dyDescent="0.3">
      <c r="D56" s="3">
        <v>6</v>
      </c>
      <c r="E56" s="9">
        <f t="shared" si="0"/>
        <v>45663</v>
      </c>
      <c r="F56" s="8"/>
      <c r="G56" s="8"/>
      <c r="H56" s="24"/>
      <c r="I56" s="7"/>
      <c r="J56" s="10"/>
    </row>
    <row r="57" spans="4:10" x14ac:dyDescent="0.3">
      <c r="D57" s="3">
        <v>6</v>
      </c>
      <c r="E57" s="9">
        <f t="shared" si="0"/>
        <v>45663</v>
      </c>
      <c r="F57" s="8"/>
      <c r="G57" s="8"/>
      <c r="H57" s="24"/>
      <c r="I57" s="7"/>
      <c r="J57" s="10"/>
    </row>
    <row r="58" spans="4:10" x14ac:dyDescent="0.3">
      <c r="D58" s="3">
        <v>6</v>
      </c>
      <c r="E58" s="9">
        <f t="shared" si="0"/>
        <v>45663</v>
      </c>
      <c r="F58" s="8"/>
      <c r="G58" s="8"/>
      <c r="H58" s="24"/>
      <c r="I58" s="7"/>
      <c r="J58" s="10"/>
    </row>
    <row r="59" spans="4:10" x14ac:dyDescent="0.3">
      <c r="D59" s="3">
        <v>6</v>
      </c>
      <c r="E59" s="9">
        <f t="shared" si="0"/>
        <v>45663</v>
      </c>
      <c r="F59" s="8"/>
      <c r="G59" s="8"/>
      <c r="H59" s="24"/>
      <c r="I59" s="7"/>
      <c r="J59" s="10"/>
    </row>
    <row r="60" spans="4:10" x14ac:dyDescent="0.3">
      <c r="D60" s="3">
        <v>6</v>
      </c>
      <c r="E60" s="9">
        <f t="shared" si="0"/>
        <v>45663</v>
      </c>
      <c r="F60" s="8"/>
      <c r="G60" s="8"/>
      <c r="H60" s="24"/>
      <c r="I60" s="7"/>
      <c r="J60" s="10"/>
    </row>
    <row r="61" spans="4:10" x14ac:dyDescent="0.3">
      <c r="D61" s="3">
        <v>6</v>
      </c>
      <c r="E61" s="9">
        <f t="shared" si="0"/>
        <v>45663</v>
      </c>
      <c r="F61" s="8"/>
      <c r="G61" s="8"/>
      <c r="H61" s="24"/>
      <c r="I61" s="7"/>
      <c r="J61" s="10"/>
    </row>
    <row r="62" spans="4:10" x14ac:dyDescent="0.3">
      <c r="D62" s="3">
        <v>6</v>
      </c>
      <c r="E62" s="19">
        <f t="shared" si="0"/>
        <v>45663</v>
      </c>
      <c r="F62" s="20"/>
      <c r="G62" s="20"/>
      <c r="H62" s="25"/>
      <c r="I62" s="21"/>
      <c r="J62" s="22"/>
    </row>
    <row r="63" spans="4:10" x14ac:dyDescent="0.3">
      <c r="D63" s="3">
        <v>7</v>
      </c>
      <c r="E63" s="15">
        <f t="shared" si="0"/>
        <v>45664</v>
      </c>
      <c r="F63" s="16"/>
      <c r="G63" s="16"/>
      <c r="H63" s="23"/>
      <c r="I63" s="17"/>
      <c r="J63" s="18"/>
    </row>
    <row r="64" spans="4:10" x14ac:dyDescent="0.3">
      <c r="D64" s="3">
        <v>7</v>
      </c>
      <c r="E64" s="9">
        <f t="shared" si="0"/>
        <v>45664</v>
      </c>
      <c r="F64" s="8"/>
      <c r="G64" s="8"/>
      <c r="H64" s="24"/>
      <c r="I64" s="7"/>
      <c r="J64" s="10"/>
    </row>
    <row r="65" spans="4:10" x14ac:dyDescent="0.3">
      <c r="D65" s="3">
        <v>7</v>
      </c>
      <c r="E65" s="9">
        <f t="shared" si="0"/>
        <v>45664</v>
      </c>
      <c r="F65" s="8"/>
      <c r="G65" s="8"/>
      <c r="H65" s="24"/>
      <c r="I65" s="7"/>
      <c r="J65" s="10"/>
    </row>
    <row r="66" spans="4:10" x14ac:dyDescent="0.3">
      <c r="D66" s="3">
        <v>7</v>
      </c>
      <c r="E66" s="9">
        <f t="shared" si="0"/>
        <v>45664</v>
      </c>
      <c r="F66" s="8"/>
      <c r="G66" s="8"/>
      <c r="H66" s="24"/>
      <c r="I66" s="7"/>
      <c r="J66" s="10"/>
    </row>
    <row r="67" spans="4:10" x14ac:dyDescent="0.3">
      <c r="D67" s="3">
        <v>7</v>
      </c>
      <c r="E67" s="9">
        <f t="shared" si="0"/>
        <v>45664</v>
      </c>
      <c r="F67" s="8"/>
      <c r="G67" s="8"/>
      <c r="H67" s="24"/>
      <c r="I67" s="7"/>
      <c r="J67" s="10"/>
    </row>
    <row r="68" spans="4:10" x14ac:dyDescent="0.3">
      <c r="D68" s="3">
        <v>7</v>
      </c>
      <c r="E68" s="9">
        <f t="shared" ref="E68:E131" si="1">DATE($B$1,$B$2,$D68)</f>
        <v>45664</v>
      </c>
      <c r="F68" s="8"/>
      <c r="G68" s="8"/>
      <c r="H68" s="24"/>
      <c r="I68" s="7"/>
      <c r="J68" s="10"/>
    </row>
    <row r="69" spans="4:10" x14ac:dyDescent="0.3">
      <c r="D69" s="3">
        <v>7</v>
      </c>
      <c r="E69" s="9">
        <f t="shared" si="1"/>
        <v>45664</v>
      </c>
      <c r="F69" s="8"/>
      <c r="G69" s="8"/>
      <c r="H69" s="24"/>
      <c r="I69" s="7"/>
      <c r="J69" s="10"/>
    </row>
    <row r="70" spans="4:10" x14ac:dyDescent="0.3">
      <c r="D70" s="3">
        <v>7</v>
      </c>
      <c r="E70" s="9">
        <f t="shared" si="1"/>
        <v>45664</v>
      </c>
      <c r="F70" s="8"/>
      <c r="G70" s="8"/>
      <c r="H70" s="24"/>
      <c r="I70" s="7"/>
      <c r="J70" s="10"/>
    </row>
    <row r="71" spans="4:10" x14ac:dyDescent="0.3">
      <c r="D71" s="3">
        <v>7</v>
      </c>
      <c r="E71" s="9">
        <f t="shared" si="1"/>
        <v>45664</v>
      </c>
      <c r="F71" s="8"/>
      <c r="G71" s="8"/>
      <c r="H71" s="24"/>
      <c r="I71" s="7"/>
      <c r="J71" s="10"/>
    </row>
    <row r="72" spans="4:10" x14ac:dyDescent="0.3">
      <c r="D72" s="3">
        <v>7</v>
      </c>
      <c r="E72" s="19">
        <f t="shared" si="1"/>
        <v>45664</v>
      </c>
      <c r="F72" s="20"/>
      <c r="G72" s="20"/>
      <c r="H72" s="25"/>
      <c r="I72" s="21"/>
      <c r="J72" s="22"/>
    </row>
    <row r="73" spans="4:10" x14ac:dyDescent="0.3">
      <c r="D73" s="3">
        <v>8</v>
      </c>
      <c r="E73" s="15">
        <f t="shared" si="1"/>
        <v>45665</v>
      </c>
      <c r="F73" s="16"/>
      <c r="G73" s="16"/>
      <c r="H73" s="23"/>
      <c r="I73" s="17"/>
      <c r="J73" s="18"/>
    </row>
    <row r="74" spans="4:10" x14ac:dyDescent="0.3">
      <c r="D74" s="3">
        <v>8</v>
      </c>
      <c r="E74" s="9">
        <f t="shared" si="1"/>
        <v>45665</v>
      </c>
      <c r="F74" s="8"/>
      <c r="G74" s="8"/>
      <c r="H74" s="24"/>
      <c r="I74" s="7"/>
      <c r="J74" s="10"/>
    </row>
    <row r="75" spans="4:10" x14ac:dyDescent="0.3">
      <c r="D75" s="3">
        <v>8</v>
      </c>
      <c r="E75" s="9">
        <f t="shared" si="1"/>
        <v>45665</v>
      </c>
      <c r="F75" s="8"/>
      <c r="G75" s="8"/>
      <c r="H75" s="24"/>
      <c r="I75" s="7"/>
      <c r="J75" s="10"/>
    </row>
    <row r="76" spans="4:10" x14ac:dyDescent="0.3">
      <c r="D76" s="3">
        <v>8</v>
      </c>
      <c r="E76" s="9">
        <f t="shared" si="1"/>
        <v>45665</v>
      </c>
      <c r="F76" s="8"/>
      <c r="G76" s="8"/>
      <c r="H76" s="24"/>
      <c r="I76" s="7"/>
      <c r="J76" s="10"/>
    </row>
    <row r="77" spans="4:10" x14ac:dyDescent="0.3">
      <c r="D77" s="3">
        <v>8</v>
      </c>
      <c r="E77" s="9">
        <f t="shared" si="1"/>
        <v>45665</v>
      </c>
      <c r="F77" s="8"/>
      <c r="G77" s="8"/>
      <c r="H77" s="24"/>
      <c r="I77" s="7"/>
      <c r="J77" s="10"/>
    </row>
    <row r="78" spans="4:10" x14ac:dyDescent="0.3">
      <c r="D78" s="3">
        <v>8</v>
      </c>
      <c r="E78" s="9">
        <f t="shared" si="1"/>
        <v>45665</v>
      </c>
      <c r="F78" s="8"/>
      <c r="G78" s="8"/>
      <c r="H78" s="24"/>
      <c r="I78" s="7"/>
      <c r="J78" s="10"/>
    </row>
    <row r="79" spans="4:10" x14ac:dyDescent="0.3">
      <c r="D79" s="3">
        <v>8</v>
      </c>
      <c r="E79" s="9">
        <f t="shared" si="1"/>
        <v>45665</v>
      </c>
      <c r="F79" s="8"/>
      <c r="G79" s="8"/>
      <c r="H79" s="24"/>
      <c r="I79" s="7"/>
      <c r="J79" s="10"/>
    </row>
    <row r="80" spans="4:10" x14ac:dyDescent="0.3">
      <c r="D80" s="3">
        <v>8</v>
      </c>
      <c r="E80" s="9">
        <f t="shared" si="1"/>
        <v>45665</v>
      </c>
      <c r="F80" s="8"/>
      <c r="G80" s="8"/>
      <c r="H80" s="24"/>
      <c r="I80" s="7"/>
      <c r="J80" s="10"/>
    </row>
    <row r="81" spans="4:10" x14ac:dyDescent="0.3">
      <c r="D81" s="3">
        <v>8</v>
      </c>
      <c r="E81" s="9">
        <f t="shared" si="1"/>
        <v>45665</v>
      </c>
      <c r="F81" s="8"/>
      <c r="G81" s="8"/>
      <c r="H81" s="24"/>
      <c r="I81" s="7"/>
      <c r="J81" s="10"/>
    </row>
    <row r="82" spans="4:10" x14ac:dyDescent="0.3">
      <c r="D82" s="3">
        <v>8</v>
      </c>
      <c r="E82" s="19">
        <f t="shared" si="1"/>
        <v>45665</v>
      </c>
      <c r="F82" s="20"/>
      <c r="G82" s="20"/>
      <c r="H82" s="25"/>
      <c r="I82" s="21"/>
      <c r="J82" s="22"/>
    </row>
    <row r="83" spans="4:10" x14ac:dyDescent="0.3">
      <c r="D83" s="3">
        <v>9</v>
      </c>
      <c r="E83" s="15">
        <f t="shared" si="1"/>
        <v>45666</v>
      </c>
      <c r="F83" s="16"/>
      <c r="G83" s="16"/>
      <c r="H83" s="23"/>
      <c r="I83" s="17"/>
      <c r="J83" s="18"/>
    </row>
    <row r="84" spans="4:10" x14ac:dyDescent="0.3">
      <c r="D84" s="3">
        <v>9</v>
      </c>
      <c r="E84" s="9">
        <f t="shared" si="1"/>
        <v>45666</v>
      </c>
      <c r="F84" s="8"/>
      <c r="G84" s="8"/>
      <c r="H84" s="24"/>
      <c r="I84" s="7"/>
      <c r="J84" s="10"/>
    </row>
    <row r="85" spans="4:10" x14ac:dyDescent="0.3">
      <c r="D85" s="3">
        <v>9</v>
      </c>
      <c r="E85" s="9">
        <f t="shared" si="1"/>
        <v>45666</v>
      </c>
      <c r="F85" s="8"/>
      <c r="G85" s="8"/>
      <c r="H85" s="24"/>
      <c r="I85" s="7"/>
      <c r="J85" s="10"/>
    </row>
    <row r="86" spans="4:10" x14ac:dyDescent="0.3">
      <c r="D86" s="3">
        <v>9</v>
      </c>
      <c r="E86" s="9">
        <f t="shared" si="1"/>
        <v>45666</v>
      </c>
      <c r="F86" s="8"/>
      <c r="G86" s="8"/>
      <c r="H86" s="24"/>
      <c r="I86" s="7"/>
      <c r="J86" s="10"/>
    </row>
    <row r="87" spans="4:10" x14ac:dyDescent="0.3">
      <c r="D87" s="3">
        <v>9</v>
      </c>
      <c r="E87" s="9">
        <f t="shared" si="1"/>
        <v>45666</v>
      </c>
      <c r="F87" s="8"/>
      <c r="G87" s="8"/>
      <c r="H87" s="24"/>
      <c r="I87" s="7"/>
      <c r="J87" s="10"/>
    </row>
    <row r="88" spans="4:10" x14ac:dyDescent="0.3">
      <c r="D88" s="3">
        <v>9</v>
      </c>
      <c r="E88" s="9">
        <f t="shared" si="1"/>
        <v>45666</v>
      </c>
      <c r="F88" s="8"/>
      <c r="G88" s="8"/>
      <c r="H88" s="24"/>
      <c r="I88" s="7"/>
      <c r="J88" s="10"/>
    </row>
    <row r="89" spans="4:10" x14ac:dyDescent="0.3">
      <c r="D89" s="3">
        <v>9</v>
      </c>
      <c r="E89" s="9">
        <f t="shared" si="1"/>
        <v>45666</v>
      </c>
      <c r="F89" s="8"/>
      <c r="G89" s="8"/>
      <c r="H89" s="24"/>
      <c r="I89" s="7"/>
      <c r="J89" s="10"/>
    </row>
    <row r="90" spans="4:10" x14ac:dyDescent="0.3">
      <c r="D90" s="3">
        <v>9</v>
      </c>
      <c r="E90" s="9">
        <f t="shared" si="1"/>
        <v>45666</v>
      </c>
      <c r="F90" s="8"/>
      <c r="G90" s="8"/>
      <c r="H90" s="24"/>
      <c r="I90" s="7"/>
      <c r="J90" s="10"/>
    </row>
    <row r="91" spans="4:10" x14ac:dyDescent="0.3">
      <c r="D91" s="3">
        <v>9</v>
      </c>
      <c r="E91" s="9">
        <f t="shared" si="1"/>
        <v>45666</v>
      </c>
      <c r="F91" s="8"/>
      <c r="G91" s="8"/>
      <c r="H91" s="24"/>
      <c r="I91" s="7"/>
      <c r="J91" s="10"/>
    </row>
    <row r="92" spans="4:10" x14ac:dyDescent="0.3">
      <c r="D92" s="3">
        <v>9</v>
      </c>
      <c r="E92" s="19">
        <f t="shared" si="1"/>
        <v>45666</v>
      </c>
      <c r="F92" s="20"/>
      <c r="G92" s="20"/>
      <c r="H92" s="25"/>
      <c r="I92" s="21"/>
      <c r="J92" s="22"/>
    </row>
    <row r="93" spans="4:10" x14ac:dyDescent="0.3">
      <c r="D93" s="3">
        <v>10</v>
      </c>
      <c r="E93" s="15">
        <f t="shared" si="1"/>
        <v>45667</v>
      </c>
      <c r="F93" s="16"/>
      <c r="G93" s="16"/>
      <c r="H93" s="23"/>
      <c r="I93" s="17"/>
      <c r="J93" s="18"/>
    </row>
    <row r="94" spans="4:10" x14ac:dyDescent="0.3">
      <c r="D94" s="3">
        <v>10</v>
      </c>
      <c r="E94" s="9">
        <f t="shared" si="1"/>
        <v>45667</v>
      </c>
      <c r="F94" s="8"/>
      <c r="G94" s="8"/>
      <c r="H94" s="24"/>
      <c r="I94" s="7"/>
      <c r="J94" s="10"/>
    </row>
    <row r="95" spans="4:10" x14ac:dyDescent="0.3">
      <c r="D95" s="3">
        <v>10</v>
      </c>
      <c r="E95" s="9">
        <f t="shared" si="1"/>
        <v>45667</v>
      </c>
      <c r="F95" s="8"/>
      <c r="G95" s="8"/>
      <c r="H95" s="24"/>
      <c r="I95" s="7"/>
      <c r="J95" s="10"/>
    </row>
    <row r="96" spans="4:10" x14ac:dyDescent="0.3">
      <c r="D96" s="3">
        <v>10</v>
      </c>
      <c r="E96" s="9">
        <f t="shared" si="1"/>
        <v>45667</v>
      </c>
      <c r="F96" s="8"/>
      <c r="G96" s="8"/>
      <c r="H96" s="24"/>
      <c r="I96" s="7"/>
      <c r="J96" s="10"/>
    </row>
    <row r="97" spans="4:10" x14ac:dyDescent="0.3">
      <c r="D97" s="3">
        <v>10</v>
      </c>
      <c r="E97" s="9">
        <f t="shared" si="1"/>
        <v>45667</v>
      </c>
      <c r="F97" s="8"/>
      <c r="G97" s="8"/>
      <c r="H97" s="24"/>
      <c r="I97" s="7"/>
      <c r="J97" s="10"/>
    </row>
    <row r="98" spans="4:10" x14ac:dyDescent="0.3">
      <c r="D98" s="3">
        <v>10</v>
      </c>
      <c r="E98" s="9">
        <f t="shared" si="1"/>
        <v>45667</v>
      </c>
      <c r="F98" s="8"/>
      <c r="G98" s="8"/>
      <c r="H98" s="24"/>
      <c r="I98" s="7"/>
      <c r="J98" s="10"/>
    </row>
    <row r="99" spans="4:10" x14ac:dyDescent="0.3">
      <c r="D99" s="3">
        <v>10</v>
      </c>
      <c r="E99" s="9">
        <f t="shared" si="1"/>
        <v>45667</v>
      </c>
      <c r="F99" s="8"/>
      <c r="G99" s="8"/>
      <c r="H99" s="24"/>
      <c r="I99" s="7"/>
      <c r="J99" s="10"/>
    </row>
    <row r="100" spans="4:10" x14ac:dyDescent="0.3">
      <c r="D100" s="3">
        <v>10</v>
      </c>
      <c r="E100" s="9">
        <f t="shared" si="1"/>
        <v>45667</v>
      </c>
      <c r="F100" s="8"/>
      <c r="G100" s="8"/>
      <c r="H100" s="24"/>
      <c r="I100" s="7"/>
      <c r="J100" s="10"/>
    </row>
    <row r="101" spans="4:10" x14ac:dyDescent="0.3">
      <c r="D101" s="3">
        <v>10</v>
      </c>
      <c r="E101" s="9">
        <f t="shared" si="1"/>
        <v>45667</v>
      </c>
      <c r="F101" s="8"/>
      <c r="G101" s="8"/>
      <c r="H101" s="24"/>
      <c r="I101" s="7"/>
      <c r="J101" s="10"/>
    </row>
    <row r="102" spans="4:10" x14ac:dyDescent="0.3">
      <c r="D102" s="3">
        <v>10</v>
      </c>
      <c r="E102" s="19">
        <f t="shared" si="1"/>
        <v>45667</v>
      </c>
      <c r="F102" s="20"/>
      <c r="G102" s="20"/>
      <c r="H102" s="25"/>
      <c r="I102" s="21"/>
      <c r="J102" s="22"/>
    </row>
    <row r="103" spans="4:10" x14ac:dyDescent="0.3">
      <c r="D103" s="3">
        <v>11</v>
      </c>
      <c r="E103" s="15">
        <f t="shared" si="1"/>
        <v>45668</v>
      </c>
      <c r="F103" s="16"/>
      <c r="G103" s="16"/>
      <c r="H103" s="23"/>
      <c r="I103" s="17"/>
      <c r="J103" s="18"/>
    </row>
    <row r="104" spans="4:10" x14ac:dyDescent="0.3">
      <c r="D104" s="3">
        <v>11</v>
      </c>
      <c r="E104" s="9">
        <f t="shared" si="1"/>
        <v>45668</v>
      </c>
      <c r="F104" s="8"/>
      <c r="G104" s="8"/>
      <c r="H104" s="24"/>
      <c r="I104" s="7"/>
      <c r="J104" s="10"/>
    </row>
    <row r="105" spans="4:10" x14ac:dyDescent="0.3">
      <c r="D105" s="3">
        <v>11</v>
      </c>
      <c r="E105" s="9">
        <f t="shared" si="1"/>
        <v>45668</v>
      </c>
      <c r="F105" s="8"/>
      <c r="G105" s="8"/>
      <c r="H105" s="24"/>
      <c r="I105" s="7"/>
      <c r="J105" s="10"/>
    </row>
    <row r="106" spans="4:10" x14ac:dyDescent="0.3">
      <c r="D106" s="3">
        <v>11</v>
      </c>
      <c r="E106" s="9">
        <f t="shared" si="1"/>
        <v>45668</v>
      </c>
      <c r="F106" s="8"/>
      <c r="G106" s="8"/>
      <c r="H106" s="24"/>
      <c r="I106" s="7"/>
      <c r="J106" s="10"/>
    </row>
    <row r="107" spans="4:10" x14ac:dyDescent="0.3">
      <c r="D107" s="3">
        <v>11</v>
      </c>
      <c r="E107" s="9">
        <f t="shared" si="1"/>
        <v>45668</v>
      </c>
      <c r="F107" s="8"/>
      <c r="G107" s="8"/>
      <c r="H107" s="24"/>
      <c r="I107" s="7"/>
      <c r="J107" s="10"/>
    </row>
    <row r="108" spans="4:10" x14ac:dyDescent="0.3">
      <c r="D108" s="3">
        <v>11</v>
      </c>
      <c r="E108" s="9">
        <f t="shared" si="1"/>
        <v>45668</v>
      </c>
      <c r="F108" s="8"/>
      <c r="G108" s="8"/>
      <c r="H108" s="24"/>
      <c r="I108" s="7"/>
      <c r="J108" s="10"/>
    </row>
    <row r="109" spans="4:10" x14ac:dyDescent="0.3">
      <c r="D109" s="3">
        <v>11</v>
      </c>
      <c r="E109" s="9">
        <f t="shared" si="1"/>
        <v>45668</v>
      </c>
      <c r="F109" s="8"/>
      <c r="G109" s="8"/>
      <c r="H109" s="24"/>
      <c r="I109" s="7"/>
      <c r="J109" s="10"/>
    </row>
    <row r="110" spans="4:10" x14ac:dyDescent="0.3">
      <c r="D110" s="3">
        <v>11</v>
      </c>
      <c r="E110" s="9">
        <f t="shared" si="1"/>
        <v>45668</v>
      </c>
      <c r="F110" s="8"/>
      <c r="G110" s="8"/>
      <c r="H110" s="24"/>
      <c r="I110" s="7"/>
      <c r="J110" s="10"/>
    </row>
    <row r="111" spans="4:10" x14ac:dyDescent="0.3">
      <c r="D111" s="3">
        <v>11</v>
      </c>
      <c r="E111" s="9">
        <f t="shared" si="1"/>
        <v>45668</v>
      </c>
      <c r="F111" s="8"/>
      <c r="G111" s="8"/>
      <c r="H111" s="24"/>
      <c r="I111" s="7"/>
      <c r="J111" s="10"/>
    </row>
    <row r="112" spans="4:10" x14ac:dyDescent="0.3">
      <c r="D112" s="3">
        <v>11</v>
      </c>
      <c r="E112" s="19">
        <f t="shared" si="1"/>
        <v>45668</v>
      </c>
      <c r="F112" s="20"/>
      <c r="G112" s="20"/>
      <c r="H112" s="25"/>
      <c r="I112" s="21"/>
      <c r="J112" s="22"/>
    </row>
    <row r="113" spans="4:10" x14ac:dyDescent="0.3">
      <c r="D113" s="3">
        <v>12</v>
      </c>
      <c r="E113" s="15">
        <f t="shared" si="1"/>
        <v>45669</v>
      </c>
      <c r="F113" s="16"/>
      <c r="G113" s="16"/>
      <c r="H113" s="23"/>
      <c r="I113" s="17"/>
      <c r="J113" s="18"/>
    </row>
    <row r="114" spans="4:10" x14ac:dyDescent="0.3">
      <c r="D114" s="3">
        <v>12</v>
      </c>
      <c r="E114" s="9">
        <f t="shared" si="1"/>
        <v>45669</v>
      </c>
      <c r="F114" s="8"/>
      <c r="G114" s="8"/>
      <c r="H114" s="24"/>
      <c r="I114" s="7"/>
      <c r="J114" s="10"/>
    </row>
    <row r="115" spans="4:10" x14ac:dyDescent="0.3">
      <c r="D115" s="3">
        <v>12</v>
      </c>
      <c r="E115" s="9">
        <f t="shared" si="1"/>
        <v>45669</v>
      </c>
      <c r="F115" s="8"/>
      <c r="G115" s="8"/>
      <c r="H115" s="24"/>
      <c r="I115" s="7"/>
      <c r="J115" s="10"/>
    </row>
    <row r="116" spans="4:10" x14ac:dyDescent="0.3">
      <c r="D116" s="3">
        <v>12</v>
      </c>
      <c r="E116" s="9">
        <f t="shared" si="1"/>
        <v>45669</v>
      </c>
      <c r="F116" s="8"/>
      <c r="G116" s="8"/>
      <c r="H116" s="24"/>
      <c r="I116" s="7"/>
      <c r="J116" s="10"/>
    </row>
    <row r="117" spans="4:10" x14ac:dyDescent="0.3">
      <c r="D117" s="3">
        <v>12</v>
      </c>
      <c r="E117" s="9">
        <f t="shared" si="1"/>
        <v>45669</v>
      </c>
      <c r="F117" s="8"/>
      <c r="G117" s="8"/>
      <c r="H117" s="24"/>
      <c r="I117" s="7"/>
      <c r="J117" s="10"/>
    </row>
    <row r="118" spans="4:10" x14ac:dyDescent="0.3">
      <c r="D118" s="3">
        <v>12</v>
      </c>
      <c r="E118" s="9">
        <f t="shared" si="1"/>
        <v>45669</v>
      </c>
      <c r="F118" s="8"/>
      <c r="G118" s="8"/>
      <c r="H118" s="24"/>
      <c r="I118" s="7"/>
      <c r="J118" s="10"/>
    </row>
    <row r="119" spans="4:10" x14ac:dyDescent="0.3">
      <c r="D119" s="3">
        <v>12</v>
      </c>
      <c r="E119" s="9">
        <f t="shared" si="1"/>
        <v>45669</v>
      </c>
      <c r="F119" s="8"/>
      <c r="G119" s="8"/>
      <c r="H119" s="24"/>
      <c r="I119" s="7"/>
      <c r="J119" s="10"/>
    </row>
    <row r="120" spans="4:10" x14ac:dyDescent="0.3">
      <c r="D120" s="3">
        <v>12</v>
      </c>
      <c r="E120" s="9">
        <f t="shared" si="1"/>
        <v>45669</v>
      </c>
      <c r="F120" s="8"/>
      <c r="G120" s="8"/>
      <c r="H120" s="24"/>
      <c r="I120" s="7"/>
      <c r="J120" s="10"/>
    </row>
    <row r="121" spans="4:10" x14ac:dyDescent="0.3">
      <c r="D121" s="3">
        <v>12</v>
      </c>
      <c r="E121" s="9">
        <f t="shared" si="1"/>
        <v>45669</v>
      </c>
      <c r="F121" s="8"/>
      <c r="G121" s="8"/>
      <c r="H121" s="24"/>
      <c r="I121" s="7"/>
      <c r="J121" s="10"/>
    </row>
    <row r="122" spans="4:10" x14ac:dyDescent="0.3">
      <c r="D122" s="3">
        <v>12</v>
      </c>
      <c r="E122" s="19">
        <f t="shared" si="1"/>
        <v>45669</v>
      </c>
      <c r="F122" s="20"/>
      <c r="G122" s="20"/>
      <c r="H122" s="25"/>
      <c r="I122" s="21"/>
      <c r="J122" s="22"/>
    </row>
    <row r="123" spans="4:10" x14ac:dyDescent="0.3">
      <c r="D123" s="3">
        <v>13</v>
      </c>
      <c r="E123" s="15">
        <f t="shared" si="1"/>
        <v>45670</v>
      </c>
      <c r="F123" s="16"/>
      <c r="G123" s="16"/>
      <c r="H123" s="23"/>
      <c r="I123" s="17"/>
      <c r="J123" s="18"/>
    </row>
    <row r="124" spans="4:10" x14ac:dyDescent="0.3">
      <c r="D124" s="3">
        <v>13</v>
      </c>
      <c r="E124" s="9">
        <f t="shared" si="1"/>
        <v>45670</v>
      </c>
      <c r="F124" s="8"/>
      <c r="G124" s="8"/>
      <c r="H124" s="24"/>
      <c r="I124" s="7"/>
      <c r="J124" s="10"/>
    </row>
    <row r="125" spans="4:10" x14ac:dyDescent="0.3">
      <c r="D125" s="3">
        <v>13</v>
      </c>
      <c r="E125" s="9">
        <f t="shared" si="1"/>
        <v>45670</v>
      </c>
      <c r="F125" s="8"/>
      <c r="G125" s="8"/>
      <c r="H125" s="24"/>
      <c r="I125" s="7"/>
      <c r="J125" s="10"/>
    </row>
    <row r="126" spans="4:10" x14ac:dyDescent="0.3">
      <c r="D126" s="3">
        <v>13</v>
      </c>
      <c r="E126" s="9">
        <f t="shared" si="1"/>
        <v>45670</v>
      </c>
      <c r="F126" s="8"/>
      <c r="G126" s="8"/>
      <c r="H126" s="24"/>
      <c r="I126" s="7"/>
      <c r="J126" s="10"/>
    </row>
    <row r="127" spans="4:10" x14ac:dyDescent="0.3">
      <c r="D127" s="3">
        <v>13</v>
      </c>
      <c r="E127" s="9">
        <f t="shared" si="1"/>
        <v>45670</v>
      </c>
      <c r="F127" s="8"/>
      <c r="G127" s="8"/>
      <c r="H127" s="24"/>
      <c r="I127" s="7"/>
      <c r="J127" s="10"/>
    </row>
    <row r="128" spans="4:10" x14ac:dyDescent="0.3">
      <c r="D128" s="3">
        <v>13</v>
      </c>
      <c r="E128" s="9">
        <f t="shared" si="1"/>
        <v>45670</v>
      </c>
      <c r="F128" s="8"/>
      <c r="G128" s="8"/>
      <c r="H128" s="24"/>
      <c r="I128" s="7"/>
      <c r="J128" s="10"/>
    </row>
    <row r="129" spans="4:10" x14ac:dyDescent="0.3">
      <c r="D129" s="3">
        <v>13</v>
      </c>
      <c r="E129" s="9">
        <f t="shared" si="1"/>
        <v>45670</v>
      </c>
      <c r="F129" s="8"/>
      <c r="G129" s="8"/>
      <c r="H129" s="24"/>
      <c r="I129" s="7"/>
      <c r="J129" s="10"/>
    </row>
    <row r="130" spans="4:10" x14ac:dyDescent="0.3">
      <c r="D130" s="3">
        <v>13</v>
      </c>
      <c r="E130" s="9">
        <f t="shared" si="1"/>
        <v>45670</v>
      </c>
      <c r="F130" s="8"/>
      <c r="G130" s="8"/>
      <c r="H130" s="24"/>
      <c r="I130" s="7"/>
      <c r="J130" s="10"/>
    </row>
    <row r="131" spans="4:10" x14ac:dyDescent="0.3">
      <c r="D131" s="3">
        <v>13</v>
      </c>
      <c r="E131" s="9">
        <f t="shared" si="1"/>
        <v>45670</v>
      </c>
      <c r="F131" s="8"/>
      <c r="G131" s="8"/>
      <c r="H131" s="24"/>
      <c r="I131" s="7"/>
      <c r="J131" s="10"/>
    </row>
    <row r="132" spans="4:10" x14ac:dyDescent="0.3">
      <c r="D132" s="3">
        <v>13</v>
      </c>
      <c r="E132" s="19">
        <f t="shared" ref="E132:E195" si="2">DATE($B$1,$B$2,$D132)</f>
        <v>45670</v>
      </c>
      <c r="F132" s="20"/>
      <c r="G132" s="20"/>
      <c r="H132" s="25"/>
      <c r="I132" s="21"/>
      <c r="J132" s="22"/>
    </row>
    <row r="133" spans="4:10" x14ac:dyDescent="0.3">
      <c r="D133" s="3">
        <v>14</v>
      </c>
      <c r="E133" s="15">
        <f t="shared" si="2"/>
        <v>45671</v>
      </c>
      <c r="F133" s="16"/>
      <c r="G133" s="16"/>
      <c r="H133" s="23"/>
      <c r="I133" s="17"/>
      <c r="J133" s="18"/>
    </row>
    <row r="134" spans="4:10" x14ac:dyDescent="0.3">
      <c r="D134" s="3">
        <v>14</v>
      </c>
      <c r="E134" s="9">
        <f t="shared" si="2"/>
        <v>45671</v>
      </c>
      <c r="F134" s="8"/>
      <c r="G134" s="8"/>
      <c r="H134" s="24"/>
      <c r="I134" s="7"/>
      <c r="J134" s="10"/>
    </row>
    <row r="135" spans="4:10" x14ac:dyDescent="0.3">
      <c r="D135" s="3">
        <v>14</v>
      </c>
      <c r="E135" s="9">
        <f t="shared" si="2"/>
        <v>45671</v>
      </c>
      <c r="F135" s="8"/>
      <c r="G135" s="8"/>
      <c r="H135" s="24"/>
      <c r="I135" s="7"/>
      <c r="J135" s="10"/>
    </row>
    <row r="136" spans="4:10" x14ac:dyDescent="0.3">
      <c r="D136" s="3">
        <v>14</v>
      </c>
      <c r="E136" s="9">
        <f t="shared" si="2"/>
        <v>45671</v>
      </c>
      <c r="F136" s="8"/>
      <c r="G136" s="8"/>
      <c r="H136" s="24"/>
      <c r="I136" s="7"/>
      <c r="J136" s="10"/>
    </row>
    <row r="137" spans="4:10" x14ac:dyDescent="0.3">
      <c r="D137" s="3">
        <v>14</v>
      </c>
      <c r="E137" s="9">
        <f t="shared" si="2"/>
        <v>45671</v>
      </c>
      <c r="F137" s="8"/>
      <c r="G137" s="8"/>
      <c r="H137" s="24"/>
      <c r="I137" s="7"/>
      <c r="J137" s="10"/>
    </row>
    <row r="138" spans="4:10" x14ac:dyDescent="0.3">
      <c r="D138" s="3">
        <v>14</v>
      </c>
      <c r="E138" s="9">
        <f t="shared" si="2"/>
        <v>45671</v>
      </c>
      <c r="F138" s="8"/>
      <c r="G138" s="8"/>
      <c r="H138" s="24"/>
      <c r="I138" s="7"/>
      <c r="J138" s="10"/>
    </row>
    <row r="139" spans="4:10" x14ac:dyDescent="0.3">
      <c r="D139" s="3">
        <v>14</v>
      </c>
      <c r="E139" s="9">
        <f t="shared" si="2"/>
        <v>45671</v>
      </c>
      <c r="F139" s="8"/>
      <c r="G139" s="8"/>
      <c r="H139" s="24"/>
      <c r="I139" s="7"/>
      <c r="J139" s="10"/>
    </row>
    <row r="140" spans="4:10" x14ac:dyDescent="0.3">
      <c r="D140" s="3">
        <v>14</v>
      </c>
      <c r="E140" s="9">
        <f t="shared" si="2"/>
        <v>45671</v>
      </c>
      <c r="F140" s="8"/>
      <c r="G140" s="8"/>
      <c r="H140" s="24"/>
      <c r="I140" s="7"/>
      <c r="J140" s="10"/>
    </row>
    <row r="141" spans="4:10" x14ac:dyDescent="0.3">
      <c r="D141" s="3">
        <v>14</v>
      </c>
      <c r="E141" s="9">
        <f t="shared" si="2"/>
        <v>45671</v>
      </c>
      <c r="F141" s="8"/>
      <c r="G141" s="8"/>
      <c r="H141" s="24"/>
      <c r="I141" s="7"/>
      <c r="J141" s="10"/>
    </row>
    <row r="142" spans="4:10" x14ac:dyDescent="0.3">
      <c r="D142" s="3">
        <v>14</v>
      </c>
      <c r="E142" s="19">
        <f t="shared" si="2"/>
        <v>45671</v>
      </c>
      <c r="F142" s="20"/>
      <c r="G142" s="20"/>
      <c r="H142" s="25"/>
      <c r="I142" s="21"/>
      <c r="J142" s="22"/>
    </row>
    <row r="143" spans="4:10" x14ac:dyDescent="0.3">
      <c r="D143" s="3">
        <v>15</v>
      </c>
      <c r="E143" s="15">
        <f t="shared" si="2"/>
        <v>45672</v>
      </c>
      <c r="F143" s="16"/>
      <c r="G143" s="16"/>
      <c r="H143" s="23"/>
      <c r="I143" s="17"/>
      <c r="J143" s="18"/>
    </row>
    <row r="144" spans="4:10" x14ac:dyDescent="0.3">
      <c r="D144" s="3">
        <v>15</v>
      </c>
      <c r="E144" s="9">
        <f t="shared" si="2"/>
        <v>45672</v>
      </c>
      <c r="F144" s="8"/>
      <c r="G144" s="8"/>
      <c r="H144" s="24"/>
      <c r="I144" s="7"/>
      <c r="J144" s="10"/>
    </row>
    <row r="145" spans="4:10" x14ac:dyDescent="0.3">
      <c r="D145" s="3">
        <v>15</v>
      </c>
      <c r="E145" s="9">
        <f t="shared" si="2"/>
        <v>45672</v>
      </c>
      <c r="F145" s="8"/>
      <c r="G145" s="8"/>
      <c r="H145" s="24"/>
      <c r="I145" s="7"/>
      <c r="J145" s="10"/>
    </row>
    <row r="146" spans="4:10" x14ac:dyDescent="0.3">
      <c r="D146" s="3">
        <v>15</v>
      </c>
      <c r="E146" s="9">
        <f t="shared" si="2"/>
        <v>45672</v>
      </c>
      <c r="F146" s="8"/>
      <c r="G146" s="8"/>
      <c r="H146" s="24"/>
      <c r="I146" s="7"/>
      <c r="J146" s="10"/>
    </row>
    <row r="147" spans="4:10" x14ac:dyDescent="0.3">
      <c r="D147" s="3">
        <v>15</v>
      </c>
      <c r="E147" s="9">
        <f t="shared" si="2"/>
        <v>45672</v>
      </c>
      <c r="F147" s="8"/>
      <c r="G147" s="8"/>
      <c r="H147" s="24"/>
      <c r="I147" s="7"/>
      <c r="J147" s="10"/>
    </row>
    <row r="148" spans="4:10" x14ac:dyDescent="0.3">
      <c r="D148" s="3">
        <v>15</v>
      </c>
      <c r="E148" s="9">
        <f t="shared" si="2"/>
        <v>45672</v>
      </c>
      <c r="F148" s="8"/>
      <c r="G148" s="8"/>
      <c r="H148" s="24"/>
      <c r="I148" s="7"/>
      <c r="J148" s="10"/>
    </row>
    <row r="149" spans="4:10" x14ac:dyDescent="0.3">
      <c r="D149" s="3">
        <v>15</v>
      </c>
      <c r="E149" s="9">
        <f t="shared" si="2"/>
        <v>45672</v>
      </c>
      <c r="F149" s="8"/>
      <c r="G149" s="8"/>
      <c r="H149" s="24"/>
      <c r="I149" s="7"/>
      <c r="J149" s="10"/>
    </row>
    <row r="150" spans="4:10" x14ac:dyDescent="0.3">
      <c r="D150" s="3">
        <v>15</v>
      </c>
      <c r="E150" s="9">
        <f t="shared" si="2"/>
        <v>45672</v>
      </c>
      <c r="F150" s="8"/>
      <c r="G150" s="8"/>
      <c r="H150" s="24"/>
      <c r="I150" s="7"/>
      <c r="J150" s="10"/>
    </row>
    <row r="151" spans="4:10" x14ac:dyDescent="0.3">
      <c r="D151" s="3">
        <v>15</v>
      </c>
      <c r="E151" s="9">
        <f t="shared" si="2"/>
        <v>45672</v>
      </c>
      <c r="F151" s="8"/>
      <c r="G151" s="8"/>
      <c r="H151" s="24"/>
      <c r="I151" s="7"/>
      <c r="J151" s="10"/>
    </row>
    <row r="152" spans="4:10" x14ac:dyDescent="0.3">
      <c r="D152" s="3">
        <v>15</v>
      </c>
      <c r="E152" s="19">
        <f t="shared" si="2"/>
        <v>45672</v>
      </c>
      <c r="F152" s="20"/>
      <c r="G152" s="20"/>
      <c r="H152" s="25"/>
      <c r="I152" s="21"/>
      <c r="J152" s="22"/>
    </row>
    <row r="153" spans="4:10" x14ac:dyDescent="0.3">
      <c r="D153" s="3">
        <v>16</v>
      </c>
      <c r="E153" s="15">
        <f t="shared" si="2"/>
        <v>45673</v>
      </c>
      <c r="F153" s="16"/>
      <c r="G153" s="16"/>
      <c r="H153" s="23"/>
      <c r="I153" s="17"/>
      <c r="J153" s="18"/>
    </row>
    <row r="154" spans="4:10" x14ac:dyDescent="0.3">
      <c r="D154" s="3">
        <v>16</v>
      </c>
      <c r="E154" s="9">
        <f t="shared" si="2"/>
        <v>45673</v>
      </c>
      <c r="F154" s="8"/>
      <c r="G154" s="8"/>
      <c r="H154" s="24"/>
      <c r="I154" s="7"/>
      <c r="J154" s="10"/>
    </row>
    <row r="155" spans="4:10" x14ac:dyDescent="0.3">
      <c r="D155" s="3">
        <v>16</v>
      </c>
      <c r="E155" s="9">
        <f t="shared" si="2"/>
        <v>45673</v>
      </c>
      <c r="F155" s="8"/>
      <c r="G155" s="8"/>
      <c r="H155" s="24"/>
      <c r="I155" s="7"/>
      <c r="J155" s="10"/>
    </row>
    <row r="156" spans="4:10" x14ac:dyDescent="0.3">
      <c r="D156" s="3">
        <v>16</v>
      </c>
      <c r="E156" s="9">
        <f t="shared" si="2"/>
        <v>45673</v>
      </c>
      <c r="F156" s="8"/>
      <c r="G156" s="8"/>
      <c r="H156" s="24"/>
      <c r="I156" s="7"/>
      <c r="J156" s="10"/>
    </row>
    <row r="157" spans="4:10" x14ac:dyDescent="0.3">
      <c r="D157" s="3">
        <v>16</v>
      </c>
      <c r="E157" s="9">
        <f t="shared" si="2"/>
        <v>45673</v>
      </c>
      <c r="F157" s="8"/>
      <c r="G157" s="8"/>
      <c r="H157" s="24"/>
      <c r="I157" s="7"/>
      <c r="J157" s="10"/>
    </row>
    <row r="158" spans="4:10" x14ac:dyDescent="0.3">
      <c r="D158" s="3">
        <v>16</v>
      </c>
      <c r="E158" s="9">
        <f t="shared" si="2"/>
        <v>45673</v>
      </c>
      <c r="F158" s="8"/>
      <c r="G158" s="8"/>
      <c r="H158" s="24"/>
      <c r="I158" s="7"/>
      <c r="J158" s="10"/>
    </row>
    <row r="159" spans="4:10" x14ac:dyDescent="0.3">
      <c r="D159" s="3">
        <v>16</v>
      </c>
      <c r="E159" s="9">
        <f t="shared" si="2"/>
        <v>45673</v>
      </c>
      <c r="F159" s="8"/>
      <c r="G159" s="8"/>
      <c r="H159" s="24"/>
      <c r="I159" s="7"/>
      <c r="J159" s="10"/>
    </row>
    <row r="160" spans="4:10" x14ac:dyDescent="0.3">
      <c r="D160" s="3">
        <v>16</v>
      </c>
      <c r="E160" s="9">
        <f t="shared" si="2"/>
        <v>45673</v>
      </c>
      <c r="F160" s="8"/>
      <c r="G160" s="8"/>
      <c r="H160" s="24"/>
      <c r="I160" s="7"/>
      <c r="J160" s="10"/>
    </row>
    <row r="161" spans="4:10" x14ac:dyDescent="0.3">
      <c r="D161" s="3">
        <v>16</v>
      </c>
      <c r="E161" s="9">
        <f t="shared" si="2"/>
        <v>45673</v>
      </c>
      <c r="F161" s="8"/>
      <c r="G161" s="8"/>
      <c r="H161" s="24"/>
      <c r="I161" s="7"/>
      <c r="J161" s="10"/>
    </row>
    <row r="162" spans="4:10" x14ac:dyDescent="0.3">
      <c r="D162" s="3">
        <v>16</v>
      </c>
      <c r="E162" s="19">
        <f t="shared" si="2"/>
        <v>45673</v>
      </c>
      <c r="F162" s="20"/>
      <c r="G162" s="20"/>
      <c r="H162" s="25"/>
      <c r="I162" s="21"/>
      <c r="J162" s="22"/>
    </row>
    <row r="163" spans="4:10" x14ac:dyDescent="0.3">
      <c r="D163" s="3">
        <v>17</v>
      </c>
      <c r="E163" s="15">
        <f t="shared" si="2"/>
        <v>45674</v>
      </c>
      <c r="F163" s="16"/>
      <c r="G163" s="16"/>
      <c r="H163" s="23"/>
      <c r="I163" s="17"/>
      <c r="J163" s="18"/>
    </row>
    <row r="164" spans="4:10" x14ac:dyDescent="0.3">
      <c r="D164" s="3">
        <v>17</v>
      </c>
      <c r="E164" s="9">
        <f t="shared" si="2"/>
        <v>45674</v>
      </c>
      <c r="F164" s="8"/>
      <c r="G164" s="8"/>
      <c r="H164" s="24"/>
      <c r="I164" s="7"/>
      <c r="J164" s="10"/>
    </row>
    <row r="165" spans="4:10" x14ac:dyDescent="0.3">
      <c r="D165" s="3">
        <v>17</v>
      </c>
      <c r="E165" s="9">
        <f t="shared" si="2"/>
        <v>45674</v>
      </c>
      <c r="F165" s="8"/>
      <c r="G165" s="8"/>
      <c r="H165" s="24"/>
      <c r="I165" s="7"/>
      <c r="J165" s="10"/>
    </row>
    <row r="166" spans="4:10" x14ac:dyDescent="0.3">
      <c r="D166" s="3">
        <v>17</v>
      </c>
      <c r="E166" s="9">
        <f t="shared" si="2"/>
        <v>45674</v>
      </c>
      <c r="F166" s="8"/>
      <c r="G166" s="8"/>
      <c r="H166" s="24"/>
      <c r="I166" s="7"/>
      <c r="J166" s="10"/>
    </row>
    <row r="167" spans="4:10" x14ac:dyDescent="0.3">
      <c r="D167" s="3">
        <v>17</v>
      </c>
      <c r="E167" s="9">
        <f t="shared" si="2"/>
        <v>45674</v>
      </c>
      <c r="F167" s="8"/>
      <c r="G167" s="8"/>
      <c r="H167" s="24"/>
      <c r="I167" s="7"/>
      <c r="J167" s="10"/>
    </row>
    <row r="168" spans="4:10" x14ac:dyDescent="0.3">
      <c r="D168" s="3">
        <v>17</v>
      </c>
      <c r="E168" s="9">
        <f t="shared" si="2"/>
        <v>45674</v>
      </c>
      <c r="F168" s="8"/>
      <c r="G168" s="8"/>
      <c r="H168" s="24"/>
      <c r="I168" s="7"/>
      <c r="J168" s="10"/>
    </row>
    <row r="169" spans="4:10" x14ac:dyDescent="0.3">
      <c r="D169" s="3">
        <v>17</v>
      </c>
      <c r="E169" s="9">
        <f t="shared" si="2"/>
        <v>45674</v>
      </c>
      <c r="F169" s="8"/>
      <c r="G169" s="8"/>
      <c r="H169" s="24"/>
      <c r="I169" s="7"/>
      <c r="J169" s="10"/>
    </row>
    <row r="170" spans="4:10" x14ac:dyDescent="0.3">
      <c r="D170" s="3">
        <v>17</v>
      </c>
      <c r="E170" s="9">
        <f t="shared" si="2"/>
        <v>45674</v>
      </c>
      <c r="F170" s="8"/>
      <c r="G170" s="8"/>
      <c r="H170" s="24"/>
      <c r="I170" s="7"/>
      <c r="J170" s="10"/>
    </row>
    <row r="171" spans="4:10" x14ac:dyDescent="0.3">
      <c r="D171" s="3">
        <v>17</v>
      </c>
      <c r="E171" s="9">
        <f t="shared" si="2"/>
        <v>45674</v>
      </c>
      <c r="F171" s="8"/>
      <c r="G171" s="8"/>
      <c r="H171" s="24"/>
      <c r="I171" s="7"/>
      <c r="J171" s="10"/>
    </row>
    <row r="172" spans="4:10" x14ac:dyDescent="0.3">
      <c r="D172" s="3">
        <v>17</v>
      </c>
      <c r="E172" s="19">
        <f t="shared" si="2"/>
        <v>45674</v>
      </c>
      <c r="F172" s="20"/>
      <c r="G172" s="20"/>
      <c r="H172" s="25"/>
      <c r="I172" s="21"/>
      <c r="J172" s="22"/>
    </row>
    <row r="173" spans="4:10" x14ac:dyDescent="0.3">
      <c r="D173" s="3">
        <v>18</v>
      </c>
      <c r="E173" s="15">
        <f t="shared" si="2"/>
        <v>45675</v>
      </c>
      <c r="F173" s="16"/>
      <c r="G173" s="16"/>
      <c r="H173" s="23"/>
      <c r="I173" s="17"/>
      <c r="J173" s="18"/>
    </row>
    <row r="174" spans="4:10" x14ac:dyDescent="0.3">
      <c r="D174" s="3">
        <v>18</v>
      </c>
      <c r="E174" s="9">
        <f t="shared" si="2"/>
        <v>45675</v>
      </c>
      <c r="F174" s="8"/>
      <c r="G174" s="8"/>
      <c r="H174" s="24"/>
      <c r="I174" s="7"/>
      <c r="J174" s="10"/>
    </row>
    <row r="175" spans="4:10" x14ac:dyDescent="0.3">
      <c r="D175" s="3">
        <v>18</v>
      </c>
      <c r="E175" s="9">
        <f t="shared" si="2"/>
        <v>45675</v>
      </c>
      <c r="F175" s="8"/>
      <c r="G175" s="8"/>
      <c r="H175" s="24"/>
      <c r="I175" s="7"/>
      <c r="J175" s="10"/>
    </row>
    <row r="176" spans="4:10" x14ac:dyDescent="0.3">
      <c r="D176" s="3">
        <v>18</v>
      </c>
      <c r="E176" s="9">
        <f t="shared" si="2"/>
        <v>45675</v>
      </c>
      <c r="F176" s="8"/>
      <c r="G176" s="8"/>
      <c r="H176" s="24"/>
      <c r="I176" s="7"/>
      <c r="J176" s="10"/>
    </row>
    <row r="177" spans="4:10" x14ac:dyDescent="0.3">
      <c r="D177" s="3">
        <v>18</v>
      </c>
      <c r="E177" s="9">
        <f t="shared" si="2"/>
        <v>45675</v>
      </c>
      <c r="F177" s="8"/>
      <c r="G177" s="8"/>
      <c r="H177" s="24"/>
      <c r="I177" s="7"/>
      <c r="J177" s="10"/>
    </row>
    <row r="178" spans="4:10" x14ac:dyDescent="0.3">
      <c r="D178" s="3">
        <v>18</v>
      </c>
      <c r="E178" s="9">
        <f t="shared" si="2"/>
        <v>45675</v>
      </c>
      <c r="F178" s="8"/>
      <c r="G178" s="8"/>
      <c r="H178" s="24"/>
      <c r="I178" s="7"/>
      <c r="J178" s="10"/>
    </row>
    <row r="179" spans="4:10" x14ac:dyDescent="0.3">
      <c r="D179" s="3">
        <v>18</v>
      </c>
      <c r="E179" s="9">
        <f t="shared" si="2"/>
        <v>45675</v>
      </c>
      <c r="F179" s="8"/>
      <c r="G179" s="8"/>
      <c r="H179" s="24"/>
      <c r="I179" s="7"/>
      <c r="J179" s="10"/>
    </row>
    <row r="180" spans="4:10" x14ac:dyDescent="0.3">
      <c r="D180" s="3">
        <v>18</v>
      </c>
      <c r="E180" s="9">
        <f t="shared" si="2"/>
        <v>45675</v>
      </c>
      <c r="F180" s="8"/>
      <c r="G180" s="8"/>
      <c r="H180" s="24"/>
      <c r="I180" s="7"/>
      <c r="J180" s="10"/>
    </row>
    <row r="181" spans="4:10" x14ac:dyDescent="0.3">
      <c r="D181" s="3">
        <v>18</v>
      </c>
      <c r="E181" s="9">
        <f t="shared" si="2"/>
        <v>45675</v>
      </c>
      <c r="F181" s="8"/>
      <c r="G181" s="8"/>
      <c r="H181" s="24"/>
      <c r="I181" s="7"/>
      <c r="J181" s="10"/>
    </row>
    <row r="182" spans="4:10" x14ac:dyDescent="0.3">
      <c r="D182" s="3">
        <v>18</v>
      </c>
      <c r="E182" s="19">
        <f t="shared" si="2"/>
        <v>45675</v>
      </c>
      <c r="F182" s="20"/>
      <c r="G182" s="20"/>
      <c r="H182" s="25"/>
      <c r="I182" s="21"/>
      <c r="J182" s="22"/>
    </row>
    <row r="183" spans="4:10" x14ac:dyDescent="0.3">
      <c r="D183" s="3">
        <v>19</v>
      </c>
      <c r="E183" s="15">
        <f t="shared" si="2"/>
        <v>45676</v>
      </c>
      <c r="F183" s="16"/>
      <c r="G183" s="16"/>
      <c r="H183" s="23"/>
      <c r="I183" s="17"/>
      <c r="J183" s="18"/>
    </row>
    <row r="184" spans="4:10" x14ac:dyDescent="0.3">
      <c r="D184" s="3">
        <v>19</v>
      </c>
      <c r="E184" s="9">
        <f t="shared" si="2"/>
        <v>45676</v>
      </c>
      <c r="F184" s="8"/>
      <c r="G184" s="8"/>
      <c r="H184" s="24"/>
      <c r="I184" s="7"/>
      <c r="J184" s="10"/>
    </row>
    <row r="185" spans="4:10" x14ac:dyDescent="0.3">
      <c r="D185" s="3">
        <v>19</v>
      </c>
      <c r="E185" s="9">
        <f t="shared" si="2"/>
        <v>45676</v>
      </c>
      <c r="F185" s="8"/>
      <c r="G185" s="8"/>
      <c r="H185" s="24"/>
      <c r="I185" s="7"/>
      <c r="J185" s="10"/>
    </row>
    <row r="186" spans="4:10" x14ac:dyDescent="0.3">
      <c r="D186" s="3">
        <v>19</v>
      </c>
      <c r="E186" s="9">
        <f t="shared" si="2"/>
        <v>45676</v>
      </c>
      <c r="F186" s="8"/>
      <c r="G186" s="8"/>
      <c r="H186" s="24"/>
      <c r="I186" s="7"/>
      <c r="J186" s="10"/>
    </row>
    <row r="187" spans="4:10" x14ac:dyDescent="0.3">
      <c r="D187" s="3">
        <v>19</v>
      </c>
      <c r="E187" s="9">
        <f t="shared" si="2"/>
        <v>45676</v>
      </c>
      <c r="F187" s="8"/>
      <c r="G187" s="8"/>
      <c r="H187" s="24"/>
      <c r="I187" s="7"/>
      <c r="J187" s="10"/>
    </row>
    <row r="188" spans="4:10" x14ac:dyDescent="0.3">
      <c r="D188" s="3">
        <v>19</v>
      </c>
      <c r="E188" s="9">
        <f t="shared" si="2"/>
        <v>45676</v>
      </c>
      <c r="F188" s="8"/>
      <c r="G188" s="8"/>
      <c r="H188" s="24"/>
      <c r="I188" s="7"/>
      <c r="J188" s="10"/>
    </row>
    <row r="189" spans="4:10" x14ac:dyDescent="0.3">
      <c r="D189" s="3">
        <v>19</v>
      </c>
      <c r="E189" s="9">
        <f t="shared" si="2"/>
        <v>45676</v>
      </c>
      <c r="F189" s="8"/>
      <c r="G189" s="8"/>
      <c r="H189" s="24"/>
      <c r="I189" s="7"/>
      <c r="J189" s="10"/>
    </row>
    <row r="190" spans="4:10" x14ac:dyDescent="0.3">
      <c r="D190" s="3">
        <v>19</v>
      </c>
      <c r="E190" s="9">
        <f t="shared" si="2"/>
        <v>45676</v>
      </c>
      <c r="F190" s="8"/>
      <c r="G190" s="8"/>
      <c r="H190" s="24"/>
      <c r="I190" s="7"/>
      <c r="J190" s="10"/>
    </row>
    <row r="191" spans="4:10" x14ac:dyDescent="0.3">
      <c r="D191" s="3">
        <v>19</v>
      </c>
      <c r="E191" s="9">
        <f t="shared" si="2"/>
        <v>45676</v>
      </c>
      <c r="F191" s="8"/>
      <c r="G191" s="8"/>
      <c r="H191" s="24"/>
      <c r="I191" s="7"/>
      <c r="J191" s="10"/>
    </row>
    <row r="192" spans="4:10" x14ac:dyDescent="0.3">
      <c r="D192" s="3">
        <v>19</v>
      </c>
      <c r="E192" s="19">
        <f t="shared" si="2"/>
        <v>45676</v>
      </c>
      <c r="F192" s="20"/>
      <c r="G192" s="20"/>
      <c r="H192" s="25"/>
      <c r="I192" s="21"/>
      <c r="J192" s="22"/>
    </row>
    <row r="193" spans="4:10" x14ac:dyDescent="0.3">
      <c r="D193" s="3">
        <v>20</v>
      </c>
      <c r="E193" s="15">
        <f t="shared" si="2"/>
        <v>45677</v>
      </c>
      <c r="F193" s="16"/>
      <c r="G193" s="16"/>
      <c r="H193" s="23"/>
      <c r="I193" s="17"/>
      <c r="J193" s="18"/>
    </row>
    <row r="194" spans="4:10" x14ac:dyDescent="0.3">
      <c r="D194" s="3">
        <v>20</v>
      </c>
      <c r="E194" s="9">
        <f t="shared" si="2"/>
        <v>45677</v>
      </c>
      <c r="F194" s="8"/>
      <c r="G194" s="8"/>
      <c r="H194" s="24"/>
      <c r="I194" s="7"/>
      <c r="J194" s="10"/>
    </row>
    <row r="195" spans="4:10" x14ac:dyDescent="0.3">
      <c r="D195" s="3">
        <v>20</v>
      </c>
      <c r="E195" s="9">
        <f t="shared" si="2"/>
        <v>45677</v>
      </c>
      <c r="F195" s="8"/>
      <c r="G195" s="8"/>
      <c r="H195" s="24"/>
      <c r="I195" s="7"/>
      <c r="J195" s="10"/>
    </row>
    <row r="196" spans="4:10" x14ac:dyDescent="0.3">
      <c r="D196" s="3">
        <v>20</v>
      </c>
      <c r="E196" s="9">
        <f t="shared" ref="E196:E259" si="3">DATE($B$1,$B$2,$D196)</f>
        <v>45677</v>
      </c>
      <c r="F196" s="8"/>
      <c r="G196" s="8"/>
      <c r="H196" s="24"/>
      <c r="I196" s="7"/>
      <c r="J196" s="10"/>
    </row>
    <row r="197" spans="4:10" x14ac:dyDescent="0.3">
      <c r="D197" s="3">
        <v>20</v>
      </c>
      <c r="E197" s="9">
        <f t="shared" si="3"/>
        <v>45677</v>
      </c>
      <c r="F197" s="8"/>
      <c r="G197" s="8"/>
      <c r="H197" s="24"/>
      <c r="I197" s="7"/>
      <c r="J197" s="10"/>
    </row>
    <row r="198" spans="4:10" x14ac:dyDescent="0.3">
      <c r="D198" s="3">
        <v>20</v>
      </c>
      <c r="E198" s="9">
        <f t="shared" si="3"/>
        <v>45677</v>
      </c>
      <c r="F198" s="8"/>
      <c r="G198" s="8"/>
      <c r="H198" s="24"/>
      <c r="I198" s="7"/>
      <c r="J198" s="10"/>
    </row>
    <row r="199" spans="4:10" x14ac:dyDescent="0.3">
      <c r="D199" s="3">
        <v>20</v>
      </c>
      <c r="E199" s="9">
        <f t="shared" si="3"/>
        <v>45677</v>
      </c>
      <c r="F199" s="8"/>
      <c r="G199" s="8"/>
      <c r="H199" s="24"/>
      <c r="I199" s="7"/>
      <c r="J199" s="10"/>
    </row>
    <row r="200" spans="4:10" x14ac:dyDescent="0.3">
      <c r="D200" s="3">
        <v>20</v>
      </c>
      <c r="E200" s="9">
        <f t="shared" si="3"/>
        <v>45677</v>
      </c>
      <c r="F200" s="8"/>
      <c r="G200" s="8"/>
      <c r="H200" s="24"/>
      <c r="I200" s="7"/>
      <c r="J200" s="10"/>
    </row>
    <row r="201" spans="4:10" x14ac:dyDescent="0.3">
      <c r="D201" s="3">
        <v>20</v>
      </c>
      <c r="E201" s="9">
        <f t="shared" si="3"/>
        <v>45677</v>
      </c>
      <c r="F201" s="8"/>
      <c r="G201" s="8"/>
      <c r="H201" s="24"/>
      <c r="I201" s="7"/>
      <c r="J201" s="10"/>
    </row>
    <row r="202" spans="4:10" x14ac:dyDescent="0.3">
      <c r="D202" s="3">
        <v>20</v>
      </c>
      <c r="E202" s="19">
        <f t="shared" si="3"/>
        <v>45677</v>
      </c>
      <c r="F202" s="20"/>
      <c r="G202" s="20"/>
      <c r="H202" s="25"/>
      <c r="I202" s="21"/>
      <c r="J202" s="22"/>
    </row>
    <row r="203" spans="4:10" x14ac:dyDescent="0.3">
      <c r="D203" s="3">
        <v>21</v>
      </c>
      <c r="E203" s="15">
        <f t="shared" si="3"/>
        <v>45678</v>
      </c>
      <c r="F203" s="16"/>
      <c r="G203" s="16"/>
      <c r="H203" s="23"/>
      <c r="I203" s="17"/>
      <c r="J203" s="18"/>
    </row>
    <row r="204" spans="4:10" x14ac:dyDescent="0.3">
      <c r="D204" s="3">
        <v>21</v>
      </c>
      <c r="E204" s="9">
        <f t="shared" si="3"/>
        <v>45678</v>
      </c>
      <c r="F204" s="8"/>
      <c r="G204" s="8"/>
      <c r="H204" s="24"/>
      <c r="I204" s="7"/>
      <c r="J204" s="10"/>
    </row>
    <row r="205" spans="4:10" x14ac:dyDescent="0.3">
      <c r="D205" s="3">
        <v>21</v>
      </c>
      <c r="E205" s="9">
        <f t="shared" si="3"/>
        <v>45678</v>
      </c>
      <c r="F205" s="8"/>
      <c r="G205" s="8"/>
      <c r="H205" s="24"/>
      <c r="I205" s="7"/>
      <c r="J205" s="10"/>
    </row>
    <row r="206" spans="4:10" x14ac:dyDescent="0.3">
      <c r="D206" s="3">
        <v>21</v>
      </c>
      <c r="E206" s="9">
        <f t="shared" si="3"/>
        <v>45678</v>
      </c>
      <c r="F206" s="8"/>
      <c r="G206" s="8"/>
      <c r="H206" s="24"/>
      <c r="I206" s="7"/>
      <c r="J206" s="10"/>
    </row>
    <row r="207" spans="4:10" x14ac:dyDescent="0.3">
      <c r="D207" s="3">
        <v>21</v>
      </c>
      <c r="E207" s="9">
        <f t="shared" si="3"/>
        <v>45678</v>
      </c>
      <c r="F207" s="8"/>
      <c r="G207" s="8"/>
      <c r="H207" s="24"/>
      <c r="I207" s="7"/>
      <c r="J207" s="10"/>
    </row>
    <row r="208" spans="4:10" x14ac:dyDescent="0.3">
      <c r="D208" s="3">
        <v>21</v>
      </c>
      <c r="E208" s="9">
        <f t="shared" si="3"/>
        <v>45678</v>
      </c>
      <c r="F208" s="8"/>
      <c r="G208" s="8"/>
      <c r="H208" s="24"/>
      <c r="I208" s="7"/>
      <c r="J208" s="10"/>
    </row>
    <row r="209" spans="4:10" x14ac:dyDescent="0.3">
      <c r="D209" s="3">
        <v>21</v>
      </c>
      <c r="E209" s="9">
        <f t="shared" si="3"/>
        <v>45678</v>
      </c>
      <c r="F209" s="8"/>
      <c r="G209" s="8"/>
      <c r="H209" s="24"/>
      <c r="I209" s="7"/>
      <c r="J209" s="10"/>
    </row>
    <row r="210" spans="4:10" x14ac:dyDescent="0.3">
      <c r="D210" s="3">
        <v>21</v>
      </c>
      <c r="E210" s="9">
        <f t="shared" si="3"/>
        <v>45678</v>
      </c>
      <c r="F210" s="8"/>
      <c r="G210" s="8"/>
      <c r="H210" s="24"/>
      <c r="I210" s="7"/>
      <c r="J210" s="10"/>
    </row>
    <row r="211" spans="4:10" x14ac:dyDescent="0.3">
      <c r="D211" s="3">
        <v>21</v>
      </c>
      <c r="E211" s="9">
        <f t="shared" si="3"/>
        <v>45678</v>
      </c>
      <c r="F211" s="8"/>
      <c r="G211" s="8"/>
      <c r="H211" s="24"/>
      <c r="I211" s="7"/>
      <c r="J211" s="10"/>
    </row>
    <row r="212" spans="4:10" x14ac:dyDescent="0.3">
      <c r="D212" s="3">
        <v>21</v>
      </c>
      <c r="E212" s="19">
        <f t="shared" si="3"/>
        <v>45678</v>
      </c>
      <c r="F212" s="20"/>
      <c r="G212" s="20"/>
      <c r="H212" s="25"/>
      <c r="I212" s="21"/>
      <c r="J212" s="22"/>
    </row>
    <row r="213" spans="4:10" x14ac:dyDescent="0.3">
      <c r="D213" s="3">
        <v>22</v>
      </c>
      <c r="E213" s="15">
        <f t="shared" si="3"/>
        <v>45679</v>
      </c>
      <c r="F213" s="16"/>
      <c r="G213" s="16"/>
      <c r="H213" s="23"/>
      <c r="I213" s="17"/>
      <c r="J213" s="18"/>
    </row>
    <row r="214" spans="4:10" x14ac:dyDescent="0.3">
      <c r="D214" s="3">
        <v>22</v>
      </c>
      <c r="E214" s="9">
        <f t="shared" si="3"/>
        <v>45679</v>
      </c>
      <c r="F214" s="8"/>
      <c r="G214" s="8"/>
      <c r="H214" s="24"/>
      <c r="I214" s="7"/>
      <c r="J214" s="10"/>
    </row>
    <row r="215" spans="4:10" x14ac:dyDescent="0.3">
      <c r="D215" s="3">
        <v>22</v>
      </c>
      <c r="E215" s="9">
        <f t="shared" si="3"/>
        <v>45679</v>
      </c>
      <c r="F215" s="8"/>
      <c r="G215" s="8"/>
      <c r="H215" s="24"/>
      <c r="I215" s="7"/>
      <c r="J215" s="10"/>
    </row>
    <row r="216" spans="4:10" x14ac:dyDescent="0.3">
      <c r="D216" s="3">
        <v>22</v>
      </c>
      <c r="E216" s="9">
        <f t="shared" si="3"/>
        <v>45679</v>
      </c>
      <c r="F216" s="8"/>
      <c r="G216" s="8"/>
      <c r="H216" s="24"/>
      <c r="I216" s="7"/>
      <c r="J216" s="10"/>
    </row>
    <row r="217" spans="4:10" x14ac:dyDescent="0.3">
      <c r="D217" s="3">
        <v>22</v>
      </c>
      <c r="E217" s="9">
        <f t="shared" si="3"/>
        <v>45679</v>
      </c>
      <c r="F217" s="8"/>
      <c r="G217" s="8"/>
      <c r="H217" s="24"/>
      <c r="I217" s="7"/>
      <c r="J217" s="10"/>
    </row>
    <row r="218" spans="4:10" x14ac:dyDescent="0.3">
      <c r="D218" s="3">
        <v>22</v>
      </c>
      <c r="E218" s="9">
        <f t="shared" si="3"/>
        <v>45679</v>
      </c>
      <c r="F218" s="8"/>
      <c r="G218" s="8"/>
      <c r="H218" s="24"/>
      <c r="I218" s="7"/>
      <c r="J218" s="10"/>
    </row>
    <row r="219" spans="4:10" x14ac:dyDescent="0.3">
      <c r="D219" s="3">
        <v>22</v>
      </c>
      <c r="E219" s="9">
        <f t="shared" si="3"/>
        <v>45679</v>
      </c>
      <c r="F219" s="8"/>
      <c r="G219" s="8"/>
      <c r="H219" s="24"/>
      <c r="I219" s="7"/>
      <c r="J219" s="10"/>
    </row>
    <row r="220" spans="4:10" x14ac:dyDescent="0.3">
      <c r="D220" s="3">
        <v>22</v>
      </c>
      <c r="E220" s="9">
        <f t="shared" si="3"/>
        <v>45679</v>
      </c>
      <c r="F220" s="8"/>
      <c r="G220" s="8"/>
      <c r="H220" s="24"/>
      <c r="I220" s="7"/>
      <c r="J220" s="10"/>
    </row>
    <row r="221" spans="4:10" x14ac:dyDescent="0.3">
      <c r="D221" s="3">
        <v>22</v>
      </c>
      <c r="E221" s="9">
        <f t="shared" si="3"/>
        <v>45679</v>
      </c>
      <c r="F221" s="8"/>
      <c r="G221" s="8"/>
      <c r="H221" s="24"/>
      <c r="I221" s="7"/>
      <c r="J221" s="10"/>
    </row>
    <row r="222" spans="4:10" x14ac:dyDescent="0.3">
      <c r="D222" s="3">
        <v>22</v>
      </c>
      <c r="E222" s="19">
        <f t="shared" si="3"/>
        <v>45679</v>
      </c>
      <c r="F222" s="20"/>
      <c r="G222" s="20"/>
      <c r="H222" s="25"/>
      <c r="I222" s="21"/>
      <c r="J222" s="22"/>
    </row>
    <row r="223" spans="4:10" x14ac:dyDescent="0.3">
      <c r="D223" s="3">
        <v>23</v>
      </c>
      <c r="E223" s="15">
        <f t="shared" si="3"/>
        <v>45680</v>
      </c>
      <c r="F223" s="16"/>
      <c r="G223" s="16"/>
      <c r="H223" s="23"/>
      <c r="I223" s="17"/>
      <c r="J223" s="18"/>
    </row>
    <row r="224" spans="4:10" x14ac:dyDescent="0.3">
      <c r="D224" s="3">
        <v>23</v>
      </c>
      <c r="E224" s="9">
        <f t="shared" si="3"/>
        <v>45680</v>
      </c>
      <c r="F224" s="8"/>
      <c r="G224" s="8"/>
      <c r="H224" s="24"/>
      <c r="I224" s="7"/>
      <c r="J224" s="10"/>
    </row>
    <row r="225" spans="4:10" x14ac:dyDescent="0.3">
      <c r="D225" s="3">
        <v>23</v>
      </c>
      <c r="E225" s="9">
        <f t="shared" si="3"/>
        <v>45680</v>
      </c>
      <c r="F225" s="8"/>
      <c r="G225" s="8"/>
      <c r="H225" s="24"/>
      <c r="I225" s="7"/>
      <c r="J225" s="10"/>
    </row>
    <row r="226" spans="4:10" x14ac:dyDescent="0.3">
      <c r="D226" s="3">
        <v>23</v>
      </c>
      <c r="E226" s="9">
        <f t="shared" si="3"/>
        <v>45680</v>
      </c>
      <c r="F226" s="8"/>
      <c r="G226" s="8"/>
      <c r="H226" s="24"/>
      <c r="I226" s="7"/>
      <c r="J226" s="10"/>
    </row>
    <row r="227" spans="4:10" x14ac:dyDescent="0.3">
      <c r="D227" s="3">
        <v>23</v>
      </c>
      <c r="E227" s="9">
        <f t="shared" si="3"/>
        <v>45680</v>
      </c>
      <c r="F227" s="8"/>
      <c r="G227" s="8"/>
      <c r="H227" s="24"/>
      <c r="I227" s="7"/>
      <c r="J227" s="10"/>
    </row>
    <row r="228" spans="4:10" x14ac:dyDescent="0.3">
      <c r="D228" s="3">
        <v>23</v>
      </c>
      <c r="E228" s="9">
        <f t="shared" si="3"/>
        <v>45680</v>
      </c>
      <c r="F228" s="8"/>
      <c r="G228" s="8"/>
      <c r="H228" s="24"/>
      <c r="I228" s="7"/>
      <c r="J228" s="10"/>
    </row>
    <row r="229" spans="4:10" x14ac:dyDescent="0.3">
      <c r="D229" s="3">
        <v>23</v>
      </c>
      <c r="E229" s="9">
        <f t="shared" si="3"/>
        <v>45680</v>
      </c>
      <c r="F229" s="8"/>
      <c r="G229" s="8"/>
      <c r="H229" s="24"/>
      <c r="I229" s="7"/>
      <c r="J229" s="10"/>
    </row>
    <row r="230" spans="4:10" x14ac:dyDescent="0.3">
      <c r="D230" s="3">
        <v>23</v>
      </c>
      <c r="E230" s="9">
        <f t="shared" si="3"/>
        <v>45680</v>
      </c>
      <c r="F230" s="8"/>
      <c r="G230" s="8"/>
      <c r="H230" s="24"/>
      <c r="I230" s="7"/>
      <c r="J230" s="10"/>
    </row>
    <row r="231" spans="4:10" x14ac:dyDescent="0.3">
      <c r="D231" s="3">
        <v>23</v>
      </c>
      <c r="E231" s="9">
        <f t="shared" si="3"/>
        <v>45680</v>
      </c>
      <c r="F231" s="8"/>
      <c r="G231" s="8"/>
      <c r="H231" s="24"/>
      <c r="I231" s="7"/>
      <c r="J231" s="10"/>
    </row>
    <row r="232" spans="4:10" x14ac:dyDescent="0.3">
      <c r="D232" s="3">
        <v>23</v>
      </c>
      <c r="E232" s="19">
        <f t="shared" si="3"/>
        <v>45680</v>
      </c>
      <c r="F232" s="20"/>
      <c r="G232" s="20"/>
      <c r="H232" s="25"/>
      <c r="I232" s="21"/>
      <c r="J232" s="22"/>
    </row>
    <row r="233" spans="4:10" x14ac:dyDescent="0.3">
      <c r="D233" s="3">
        <v>24</v>
      </c>
      <c r="E233" s="15">
        <f t="shared" si="3"/>
        <v>45681</v>
      </c>
      <c r="F233" s="16"/>
      <c r="G233" s="16"/>
      <c r="H233" s="23"/>
      <c r="I233" s="17"/>
      <c r="J233" s="18"/>
    </row>
    <row r="234" spans="4:10" x14ac:dyDescent="0.3">
      <c r="D234" s="3">
        <v>24</v>
      </c>
      <c r="E234" s="9">
        <f t="shared" si="3"/>
        <v>45681</v>
      </c>
      <c r="F234" s="8"/>
      <c r="G234" s="8"/>
      <c r="H234" s="24"/>
      <c r="I234" s="7"/>
      <c r="J234" s="10"/>
    </row>
    <row r="235" spans="4:10" x14ac:dyDescent="0.3">
      <c r="D235" s="3">
        <v>24</v>
      </c>
      <c r="E235" s="9">
        <f t="shared" si="3"/>
        <v>45681</v>
      </c>
      <c r="F235" s="8"/>
      <c r="G235" s="8"/>
      <c r="H235" s="24"/>
      <c r="I235" s="7"/>
      <c r="J235" s="10"/>
    </row>
    <row r="236" spans="4:10" x14ac:dyDescent="0.3">
      <c r="D236" s="3">
        <v>24</v>
      </c>
      <c r="E236" s="9">
        <f t="shared" si="3"/>
        <v>45681</v>
      </c>
      <c r="F236" s="8"/>
      <c r="G236" s="8"/>
      <c r="H236" s="24"/>
      <c r="I236" s="7"/>
      <c r="J236" s="10"/>
    </row>
    <row r="237" spans="4:10" x14ac:dyDescent="0.3">
      <c r="D237" s="3">
        <v>24</v>
      </c>
      <c r="E237" s="9">
        <f t="shared" si="3"/>
        <v>45681</v>
      </c>
      <c r="F237" s="8"/>
      <c r="G237" s="8"/>
      <c r="H237" s="24"/>
      <c r="I237" s="7"/>
      <c r="J237" s="10"/>
    </row>
    <row r="238" spans="4:10" x14ac:dyDescent="0.3">
      <c r="D238" s="3">
        <v>24</v>
      </c>
      <c r="E238" s="9">
        <f t="shared" si="3"/>
        <v>45681</v>
      </c>
      <c r="F238" s="8"/>
      <c r="G238" s="8"/>
      <c r="H238" s="24"/>
      <c r="I238" s="7"/>
      <c r="J238" s="10"/>
    </row>
    <row r="239" spans="4:10" x14ac:dyDescent="0.3">
      <c r="D239" s="3">
        <v>24</v>
      </c>
      <c r="E239" s="9">
        <f t="shared" si="3"/>
        <v>45681</v>
      </c>
      <c r="F239" s="8"/>
      <c r="G239" s="8"/>
      <c r="H239" s="24"/>
      <c r="I239" s="7"/>
      <c r="J239" s="10"/>
    </row>
    <row r="240" spans="4:10" x14ac:dyDescent="0.3">
      <c r="D240" s="3">
        <v>24</v>
      </c>
      <c r="E240" s="9">
        <f t="shared" si="3"/>
        <v>45681</v>
      </c>
      <c r="F240" s="8"/>
      <c r="G240" s="8"/>
      <c r="H240" s="24"/>
      <c r="I240" s="7"/>
      <c r="J240" s="10"/>
    </row>
    <row r="241" spans="4:10" x14ac:dyDescent="0.3">
      <c r="D241" s="3">
        <v>24</v>
      </c>
      <c r="E241" s="9">
        <f t="shared" si="3"/>
        <v>45681</v>
      </c>
      <c r="F241" s="8"/>
      <c r="G241" s="8"/>
      <c r="H241" s="24"/>
      <c r="I241" s="7"/>
      <c r="J241" s="10"/>
    </row>
    <row r="242" spans="4:10" x14ac:dyDescent="0.3">
      <c r="D242" s="3">
        <v>24</v>
      </c>
      <c r="E242" s="19">
        <f t="shared" si="3"/>
        <v>45681</v>
      </c>
      <c r="F242" s="20"/>
      <c r="G242" s="20"/>
      <c r="H242" s="25"/>
      <c r="I242" s="21"/>
      <c r="J242" s="22"/>
    </row>
    <row r="243" spans="4:10" x14ac:dyDescent="0.3">
      <c r="D243" s="3">
        <v>25</v>
      </c>
      <c r="E243" s="15">
        <f t="shared" si="3"/>
        <v>45682</v>
      </c>
      <c r="F243" s="16"/>
      <c r="G243" s="16"/>
      <c r="H243" s="23"/>
      <c r="I243" s="17"/>
      <c r="J243" s="18"/>
    </row>
    <row r="244" spans="4:10" x14ac:dyDescent="0.3">
      <c r="D244" s="3">
        <v>25</v>
      </c>
      <c r="E244" s="9">
        <f t="shared" si="3"/>
        <v>45682</v>
      </c>
      <c r="F244" s="8"/>
      <c r="G244" s="8"/>
      <c r="H244" s="24"/>
      <c r="I244" s="7"/>
      <c r="J244" s="10"/>
    </row>
    <row r="245" spans="4:10" x14ac:dyDescent="0.3">
      <c r="D245" s="3">
        <v>25</v>
      </c>
      <c r="E245" s="9">
        <f t="shared" si="3"/>
        <v>45682</v>
      </c>
      <c r="F245" s="8"/>
      <c r="G245" s="8"/>
      <c r="H245" s="24"/>
      <c r="I245" s="7"/>
      <c r="J245" s="10"/>
    </row>
    <row r="246" spans="4:10" x14ac:dyDescent="0.3">
      <c r="D246" s="3">
        <v>25</v>
      </c>
      <c r="E246" s="9">
        <f t="shared" si="3"/>
        <v>45682</v>
      </c>
      <c r="F246" s="8"/>
      <c r="G246" s="8"/>
      <c r="H246" s="24"/>
      <c r="I246" s="7"/>
      <c r="J246" s="10"/>
    </row>
    <row r="247" spans="4:10" x14ac:dyDescent="0.3">
      <c r="D247" s="3">
        <v>25</v>
      </c>
      <c r="E247" s="9">
        <f t="shared" si="3"/>
        <v>45682</v>
      </c>
      <c r="F247" s="8"/>
      <c r="G247" s="8"/>
      <c r="H247" s="24"/>
      <c r="I247" s="7"/>
      <c r="J247" s="10"/>
    </row>
    <row r="248" spans="4:10" x14ac:dyDescent="0.3">
      <c r="D248" s="3">
        <v>25</v>
      </c>
      <c r="E248" s="9">
        <f t="shared" si="3"/>
        <v>45682</v>
      </c>
      <c r="F248" s="8"/>
      <c r="G248" s="8"/>
      <c r="H248" s="24"/>
      <c r="I248" s="7"/>
      <c r="J248" s="10"/>
    </row>
    <row r="249" spans="4:10" x14ac:dyDescent="0.3">
      <c r="D249" s="3">
        <v>25</v>
      </c>
      <c r="E249" s="9">
        <f t="shared" si="3"/>
        <v>45682</v>
      </c>
      <c r="F249" s="8"/>
      <c r="G249" s="8"/>
      <c r="H249" s="24"/>
      <c r="I249" s="7"/>
      <c r="J249" s="10"/>
    </row>
    <row r="250" spans="4:10" x14ac:dyDescent="0.3">
      <c r="D250" s="3">
        <v>25</v>
      </c>
      <c r="E250" s="9">
        <f t="shared" si="3"/>
        <v>45682</v>
      </c>
      <c r="F250" s="8"/>
      <c r="G250" s="8"/>
      <c r="H250" s="24"/>
      <c r="I250" s="7"/>
      <c r="J250" s="10"/>
    </row>
    <row r="251" spans="4:10" x14ac:dyDescent="0.3">
      <c r="D251" s="3">
        <v>25</v>
      </c>
      <c r="E251" s="9">
        <f t="shared" si="3"/>
        <v>45682</v>
      </c>
      <c r="F251" s="8"/>
      <c r="G251" s="8"/>
      <c r="H251" s="24"/>
      <c r="I251" s="7"/>
      <c r="J251" s="10"/>
    </row>
    <row r="252" spans="4:10" x14ac:dyDescent="0.3">
      <c r="D252" s="3">
        <v>25</v>
      </c>
      <c r="E252" s="19">
        <f t="shared" si="3"/>
        <v>45682</v>
      </c>
      <c r="F252" s="20"/>
      <c r="G252" s="20"/>
      <c r="H252" s="25"/>
      <c r="I252" s="21"/>
      <c r="J252" s="22"/>
    </row>
    <row r="253" spans="4:10" x14ac:dyDescent="0.3">
      <c r="D253" s="3">
        <v>26</v>
      </c>
      <c r="E253" s="15">
        <f t="shared" si="3"/>
        <v>45683</v>
      </c>
      <c r="F253" s="16"/>
      <c r="G253" s="16"/>
      <c r="H253" s="23"/>
      <c r="I253" s="17"/>
      <c r="J253" s="18"/>
    </row>
    <row r="254" spans="4:10" x14ac:dyDescent="0.3">
      <c r="D254" s="3">
        <v>26</v>
      </c>
      <c r="E254" s="9">
        <f t="shared" si="3"/>
        <v>45683</v>
      </c>
      <c r="F254" s="8"/>
      <c r="G254" s="8"/>
      <c r="H254" s="24"/>
      <c r="I254" s="7"/>
      <c r="J254" s="10"/>
    </row>
    <row r="255" spans="4:10" x14ac:dyDescent="0.3">
      <c r="D255" s="3">
        <v>26</v>
      </c>
      <c r="E255" s="9">
        <f t="shared" si="3"/>
        <v>45683</v>
      </c>
      <c r="F255" s="8"/>
      <c r="G255" s="8"/>
      <c r="H255" s="24"/>
      <c r="I255" s="7"/>
      <c r="J255" s="10"/>
    </row>
    <row r="256" spans="4:10" x14ac:dyDescent="0.3">
      <c r="D256" s="3">
        <v>26</v>
      </c>
      <c r="E256" s="9">
        <f t="shared" si="3"/>
        <v>45683</v>
      </c>
      <c r="F256" s="8"/>
      <c r="G256" s="8"/>
      <c r="H256" s="24"/>
      <c r="I256" s="7"/>
      <c r="J256" s="10"/>
    </row>
    <row r="257" spans="4:10" x14ac:dyDescent="0.3">
      <c r="D257" s="3">
        <v>26</v>
      </c>
      <c r="E257" s="9">
        <f t="shared" si="3"/>
        <v>45683</v>
      </c>
      <c r="F257" s="8"/>
      <c r="G257" s="8"/>
      <c r="H257" s="24"/>
      <c r="I257" s="7"/>
      <c r="J257" s="10"/>
    </row>
    <row r="258" spans="4:10" x14ac:dyDescent="0.3">
      <c r="D258" s="3">
        <v>26</v>
      </c>
      <c r="E258" s="9">
        <f t="shared" si="3"/>
        <v>45683</v>
      </c>
      <c r="F258" s="8"/>
      <c r="G258" s="8"/>
      <c r="H258" s="24"/>
      <c r="I258" s="7"/>
      <c r="J258" s="10"/>
    </row>
    <row r="259" spans="4:10" x14ac:dyDescent="0.3">
      <c r="D259" s="3">
        <v>26</v>
      </c>
      <c r="E259" s="9">
        <f t="shared" si="3"/>
        <v>45683</v>
      </c>
      <c r="F259" s="8"/>
      <c r="G259" s="8"/>
      <c r="H259" s="24"/>
      <c r="I259" s="7"/>
      <c r="J259" s="10"/>
    </row>
    <row r="260" spans="4:10" x14ac:dyDescent="0.3">
      <c r="D260" s="3">
        <v>26</v>
      </c>
      <c r="E260" s="9">
        <f t="shared" ref="E260:E312" si="4">DATE($B$1,$B$2,$D260)</f>
        <v>45683</v>
      </c>
      <c r="F260" s="8"/>
      <c r="G260" s="8"/>
      <c r="H260" s="24"/>
      <c r="I260" s="7"/>
      <c r="J260" s="10"/>
    </row>
    <row r="261" spans="4:10" x14ac:dyDescent="0.3">
      <c r="D261" s="3">
        <v>26</v>
      </c>
      <c r="E261" s="9">
        <f t="shared" si="4"/>
        <v>45683</v>
      </c>
      <c r="F261" s="8"/>
      <c r="G261" s="8"/>
      <c r="H261" s="24"/>
      <c r="I261" s="7"/>
      <c r="J261" s="10"/>
    </row>
    <row r="262" spans="4:10" x14ac:dyDescent="0.3">
      <c r="D262" s="3">
        <v>26</v>
      </c>
      <c r="E262" s="19">
        <f t="shared" si="4"/>
        <v>45683</v>
      </c>
      <c r="F262" s="20"/>
      <c r="G262" s="20"/>
      <c r="H262" s="25"/>
      <c r="I262" s="21"/>
      <c r="J262" s="22"/>
    </row>
    <row r="263" spans="4:10" x14ac:dyDescent="0.3">
      <c r="D263" s="3">
        <v>27</v>
      </c>
      <c r="E263" s="15">
        <f t="shared" si="4"/>
        <v>45684</v>
      </c>
      <c r="F263" s="16"/>
      <c r="G263" s="16"/>
      <c r="H263" s="23"/>
      <c r="I263" s="17"/>
      <c r="J263" s="18"/>
    </row>
    <row r="264" spans="4:10" x14ac:dyDescent="0.3">
      <c r="D264" s="3">
        <v>27</v>
      </c>
      <c r="E264" s="9">
        <f t="shared" si="4"/>
        <v>45684</v>
      </c>
      <c r="F264" s="8"/>
      <c r="G264" s="8"/>
      <c r="H264" s="24"/>
      <c r="I264" s="7"/>
      <c r="J264" s="10"/>
    </row>
    <row r="265" spans="4:10" x14ac:dyDescent="0.3">
      <c r="D265" s="3">
        <v>27</v>
      </c>
      <c r="E265" s="9">
        <f t="shared" si="4"/>
        <v>45684</v>
      </c>
      <c r="F265" s="8"/>
      <c r="G265" s="8"/>
      <c r="H265" s="24"/>
      <c r="I265" s="7"/>
      <c r="J265" s="10"/>
    </row>
    <row r="266" spans="4:10" x14ac:dyDescent="0.3">
      <c r="D266" s="3">
        <v>27</v>
      </c>
      <c r="E266" s="9">
        <f t="shared" si="4"/>
        <v>45684</v>
      </c>
      <c r="F266" s="8"/>
      <c r="G266" s="8"/>
      <c r="H266" s="24"/>
      <c r="I266" s="7"/>
      <c r="J266" s="10"/>
    </row>
    <row r="267" spans="4:10" x14ac:dyDescent="0.3">
      <c r="D267" s="3">
        <v>27</v>
      </c>
      <c r="E267" s="9">
        <f t="shared" si="4"/>
        <v>45684</v>
      </c>
      <c r="F267" s="8"/>
      <c r="G267" s="8"/>
      <c r="H267" s="24"/>
      <c r="I267" s="7"/>
      <c r="J267" s="10"/>
    </row>
    <row r="268" spans="4:10" x14ac:dyDescent="0.3">
      <c r="D268" s="3">
        <v>27</v>
      </c>
      <c r="E268" s="9">
        <f t="shared" si="4"/>
        <v>45684</v>
      </c>
      <c r="F268" s="8"/>
      <c r="G268" s="8"/>
      <c r="H268" s="24"/>
      <c r="I268" s="7"/>
      <c r="J268" s="10"/>
    </row>
    <row r="269" spans="4:10" x14ac:dyDescent="0.3">
      <c r="D269" s="3">
        <v>27</v>
      </c>
      <c r="E269" s="9">
        <f t="shared" si="4"/>
        <v>45684</v>
      </c>
      <c r="F269" s="8"/>
      <c r="G269" s="8"/>
      <c r="H269" s="24"/>
      <c r="I269" s="7"/>
      <c r="J269" s="10"/>
    </row>
    <row r="270" spans="4:10" x14ac:dyDescent="0.3">
      <c r="D270" s="3">
        <v>27</v>
      </c>
      <c r="E270" s="9">
        <f t="shared" si="4"/>
        <v>45684</v>
      </c>
      <c r="F270" s="8"/>
      <c r="G270" s="8"/>
      <c r="H270" s="24"/>
      <c r="I270" s="7"/>
      <c r="J270" s="10"/>
    </row>
    <row r="271" spans="4:10" x14ac:dyDescent="0.3">
      <c r="D271" s="3">
        <v>27</v>
      </c>
      <c r="E271" s="9">
        <f t="shared" si="4"/>
        <v>45684</v>
      </c>
      <c r="F271" s="8"/>
      <c r="G271" s="8"/>
      <c r="H271" s="24"/>
      <c r="I271" s="7"/>
      <c r="J271" s="10"/>
    </row>
    <row r="272" spans="4:10" x14ac:dyDescent="0.3">
      <c r="D272" s="3">
        <v>27</v>
      </c>
      <c r="E272" s="19">
        <f t="shared" si="4"/>
        <v>45684</v>
      </c>
      <c r="F272" s="20"/>
      <c r="G272" s="20"/>
      <c r="H272" s="25"/>
      <c r="I272" s="21"/>
      <c r="J272" s="22"/>
    </row>
    <row r="273" spans="4:10" x14ac:dyDescent="0.3">
      <c r="D273" s="3">
        <v>28</v>
      </c>
      <c r="E273" s="15">
        <f t="shared" si="4"/>
        <v>45685</v>
      </c>
      <c r="F273" s="16"/>
      <c r="G273" s="16"/>
      <c r="H273" s="23"/>
      <c r="I273" s="17"/>
      <c r="J273" s="18"/>
    </row>
    <row r="274" spans="4:10" x14ac:dyDescent="0.3">
      <c r="D274" s="3">
        <v>28</v>
      </c>
      <c r="E274" s="9">
        <f t="shared" si="4"/>
        <v>45685</v>
      </c>
      <c r="F274" s="8"/>
      <c r="G274" s="8"/>
      <c r="H274" s="24"/>
      <c r="I274" s="7"/>
      <c r="J274" s="10"/>
    </row>
    <row r="275" spans="4:10" x14ac:dyDescent="0.3">
      <c r="D275" s="3">
        <v>28</v>
      </c>
      <c r="E275" s="9">
        <f t="shared" si="4"/>
        <v>45685</v>
      </c>
      <c r="F275" s="8"/>
      <c r="G275" s="8"/>
      <c r="H275" s="24"/>
      <c r="I275" s="7"/>
      <c r="J275" s="10"/>
    </row>
    <row r="276" spans="4:10" x14ac:dyDescent="0.3">
      <c r="D276" s="3">
        <v>28</v>
      </c>
      <c r="E276" s="9">
        <f t="shared" si="4"/>
        <v>45685</v>
      </c>
      <c r="F276" s="8"/>
      <c r="G276" s="8"/>
      <c r="H276" s="24"/>
      <c r="I276" s="7"/>
      <c r="J276" s="10"/>
    </row>
    <row r="277" spans="4:10" x14ac:dyDescent="0.3">
      <c r="D277" s="3">
        <v>28</v>
      </c>
      <c r="E277" s="9">
        <f t="shared" si="4"/>
        <v>45685</v>
      </c>
      <c r="F277" s="8"/>
      <c r="G277" s="8"/>
      <c r="H277" s="24"/>
      <c r="I277" s="7"/>
      <c r="J277" s="10"/>
    </row>
    <row r="278" spans="4:10" x14ac:dyDescent="0.3">
      <c r="D278" s="3">
        <v>28</v>
      </c>
      <c r="E278" s="9">
        <f t="shared" si="4"/>
        <v>45685</v>
      </c>
      <c r="F278" s="8"/>
      <c r="G278" s="8"/>
      <c r="H278" s="24"/>
      <c r="I278" s="7"/>
      <c r="J278" s="10"/>
    </row>
    <row r="279" spans="4:10" x14ac:dyDescent="0.3">
      <c r="D279" s="3">
        <v>28</v>
      </c>
      <c r="E279" s="9">
        <f t="shared" si="4"/>
        <v>45685</v>
      </c>
      <c r="F279" s="8"/>
      <c r="G279" s="8"/>
      <c r="H279" s="24"/>
      <c r="I279" s="7"/>
      <c r="J279" s="10"/>
    </row>
    <row r="280" spans="4:10" x14ac:dyDescent="0.3">
      <c r="D280" s="3">
        <v>28</v>
      </c>
      <c r="E280" s="9">
        <f t="shared" si="4"/>
        <v>45685</v>
      </c>
      <c r="F280" s="8"/>
      <c r="G280" s="8"/>
      <c r="H280" s="24"/>
      <c r="I280" s="7"/>
      <c r="J280" s="10"/>
    </row>
    <row r="281" spans="4:10" x14ac:dyDescent="0.3">
      <c r="D281" s="3">
        <v>28</v>
      </c>
      <c r="E281" s="9">
        <f t="shared" si="4"/>
        <v>45685</v>
      </c>
      <c r="F281" s="8"/>
      <c r="G281" s="8"/>
      <c r="H281" s="24"/>
      <c r="I281" s="7"/>
      <c r="J281" s="10"/>
    </row>
    <row r="282" spans="4:10" x14ac:dyDescent="0.3">
      <c r="D282" s="3">
        <v>28</v>
      </c>
      <c r="E282" s="19">
        <f t="shared" si="4"/>
        <v>45685</v>
      </c>
      <c r="F282" s="20"/>
      <c r="G282" s="20"/>
      <c r="H282" s="25"/>
      <c r="I282" s="21"/>
      <c r="J282" s="22"/>
    </row>
    <row r="283" spans="4:10" x14ac:dyDescent="0.3">
      <c r="D283" s="3">
        <v>29</v>
      </c>
      <c r="E283" s="15">
        <f t="shared" si="4"/>
        <v>45686</v>
      </c>
      <c r="F283" s="16"/>
      <c r="G283" s="16"/>
      <c r="H283" s="23"/>
      <c r="I283" s="17"/>
      <c r="J283" s="18"/>
    </row>
    <row r="284" spans="4:10" x14ac:dyDescent="0.3">
      <c r="D284" s="3">
        <v>29</v>
      </c>
      <c r="E284" s="9">
        <f t="shared" si="4"/>
        <v>45686</v>
      </c>
      <c r="F284" s="8"/>
      <c r="G284" s="8"/>
      <c r="H284" s="24"/>
      <c r="I284" s="7"/>
      <c r="J284" s="10"/>
    </row>
    <row r="285" spans="4:10" x14ac:dyDescent="0.3">
      <c r="D285" s="3">
        <v>29</v>
      </c>
      <c r="E285" s="9">
        <f t="shared" si="4"/>
        <v>45686</v>
      </c>
      <c r="F285" s="8"/>
      <c r="G285" s="8"/>
      <c r="H285" s="24"/>
      <c r="I285" s="7"/>
      <c r="J285" s="10"/>
    </row>
    <row r="286" spans="4:10" x14ac:dyDescent="0.3">
      <c r="D286" s="3">
        <v>29</v>
      </c>
      <c r="E286" s="9">
        <f t="shared" si="4"/>
        <v>45686</v>
      </c>
      <c r="F286" s="8"/>
      <c r="G286" s="8"/>
      <c r="H286" s="24"/>
      <c r="I286" s="7"/>
      <c r="J286" s="10"/>
    </row>
    <row r="287" spans="4:10" x14ac:dyDescent="0.3">
      <c r="D287" s="3">
        <v>29</v>
      </c>
      <c r="E287" s="9">
        <f t="shared" si="4"/>
        <v>45686</v>
      </c>
      <c r="F287" s="8"/>
      <c r="G287" s="8"/>
      <c r="H287" s="24"/>
      <c r="I287" s="7"/>
      <c r="J287" s="10"/>
    </row>
    <row r="288" spans="4:10" x14ac:dyDescent="0.3">
      <c r="D288" s="3">
        <v>29</v>
      </c>
      <c r="E288" s="9">
        <f t="shared" si="4"/>
        <v>45686</v>
      </c>
      <c r="F288" s="8"/>
      <c r="G288" s="8"/>
      <c r="H288" s="24"/>
      <c r="I288" s="7"/>
      <c r="J288" s="10"/>
    </row>
    <row r="289" spans="4:10" x14ac:dyDescent="0.3">
      <c r="D289" s="3">
        <v>29</v>
      </c>
      <c r="E289" s="9">
        <f t="shared" si="4"/>
        <v>45686</v>
      </c>
      <c r="F289" s="8"/>
      <c r="G289" s="8"/>
      <c r="H289" s="24"/>
      <c r="I289" s="7"/>
      <c r="J289" s="10"/>
    </row>
    <row r="290" spans="4:10" x14ac:dyDescent="0.3">
      <c r="D290" s="3">
        <v>29</v>
      </c>
      <c r="E290" s="9">
        <f t="shared" si="4"/>
        <v>45686</v>
      </c>
      <c r="F290" s="8"/>
      <c r="G290" s="8"/>
      <c r="H290" s="24"/>
      <c r="I290" s="7"/>
      <c r="J290" s="10"/>
    </row>
    <row r="291" spans="4:10" x14ac:dyDescent="0.3">
      <c r="D291" s="3">
        <v>29</v>
      </c>
      <c r="E291" s="9">
        <f t="shared" si="4"/>
        <v>45686</v>
      </c>
      <c r="F291" s="8"/>
      <c r="G291" s="8"/>
      <c r="H291" s="24"/>
      <c r="I291" s="7"/>
      <c r="J291" s="10"/>
    </row>
    <row r="292" spans="4:10" x14ac:dyDescent="0.3">
      <c r="D292" s="3">
        <v>29</v>
      </c>
      <c r="E292" s="19">
        <f t="shared" si="4"/>
        <v>45686</v>
      </c>
      <c r="F292" s="20"/>
      <c r="G292" s="20"/>
      <c r="H292" s="25"/>
      <c r="I292" s="21"/>
      <c r="J292" s="22"/>
    </row>
    <row r="293" spans="4:10" x14ac:dyDescent="0.3">
      <c r="D293" s="3">
        <v>30</v>
      </c>
      <c r="E293" s="15">
        <f t="shared" si="4"/>
        <v>45687</v>
      </c>
      <c r="F293" s="16"/>
      <c r="G293" s="16"/>
      <c r="H293" s="23"/>
      <c r="I293" s="17"/>
      <c r="J293" s="18"/>
    </row>
    <row r="294" spans="4:10" x14ac:dyDescent="0.3">
      <c r="D294" s="3">
        <v>30</v>
      </c>
      <c r="E294" s="9">
        <f t="shared" si="4"/>
        <v>45687</v>
      </c>
      <c r="F294" s="8"/>
      <c r="G294" s="8"/>
      <c r="H294" s="24"/>
      <c r="I294" s="7"/>
      <c r="J294" s="10"/>
    </row>
    <row r="295" spans="4:10" x14ac:dyDescent="0.3">
      <c r="D295" s="3">
        <v>30</v>
      </c>
      <c r="E295" s="9">
        <f t="shared" si="4"/>
        <v>45687</v>
      </c>
      <c r="F295" s="8"/>
      <c r="G295" s="8"/>
      <c r="H295" s="24"/>
      <c r="I295" s="7"/>
      <c r="J295" s="10"/>
    </row>
    <row r="296" spans="4:10" x14ac:dyDescent="0.3">
      <c r="D296" s="3">
        <v>30</v>
      </c>
      <c r="E296" s="9">
        <f t="shared" si="4"/>
        <v>45687</v>
      </c>
      <c r="F296" s="8"/>
      <c r="G296" s="8"/>
      <c r="H296" s="24"/>
      <c r="I296" s="7"/>
      <c r="J296" s="10"/>
    </row>
    <row r="297" spans="4:10" x14ac:dyDescent="0.3">
      <c r="D297" s="3">
        <v>30</v>
      </c>
      <c r="E297" s="9">
        <f t="shared" si="4"/>
        <v>45687</v>
      </c>
      <c r="F297" s="8"/>
      <c r="G297" s="8"/>
      <c r="H297" s="24"/>
      <c r="I297" s="7"/>
      <c r="J297" s="10"/>
    </row>
    <row r="298" spans="4:10" x14ac:dyDescent="0.3">
      <c r="D298" s="3">
        <v>30</v>
      </c>
      <c r="E298" s="9">
        <f t="shared" si="4"/>
        <v>45687</v>
      </c>
      <c r="F298" s="8"/>
      <c r="G298" s="8"/>
      <c r="H298" s="24"/>
      <c r="I298" s="7"/>
      <c r="J298" s="10"/>
    </row>
    <row r="299" spans="4:10" x14ac:dyDescent="0.3">
      <c r="D299" s="3">
        <v>30</v>
      </c>
      <c r="E299" s="9">
        <f t="shared" si="4"/>
        <v>45687</v>
      </c>
      <c r="F299" s="8"/>
      <c r="G299" s="8"/>
      <c r="H299" s="24"/>
      <c r="I299" s="7"/>
      <c r="J299" s="10"/>
    </row>
    <row r="300" spans="4:10" x14ac:dyDescent="0.3">
      <c r="D300" s="3">
        <v>30</v>
      </c>
      <c r="E300" s="9">
        <f t="shared" si="4"/>
        <v>45687</v>
      </c>
      <c r="F300" s="8"/>
      <c r="G300" s="8"/>
      <c r="H300" s="24"/>
      <c r="I300" s="7"/>
      <c r="J300" s="10"/>
    </row>
    <row r="301" spans="4:10" x14ac:dyDescent="0.3">
      <c r="D301" s="3">
        <v>30</v>
      </c>
      <c r="E301" s="9">
        <f t="shared" si="4"/>
        <v>45687</v>
      </c>
      <c r="F301" s="8"/>
      <c r="G301" s="8"/>
      <c r="H301" s="24"/>
      <c r="I301" s="7"/>
      <c r="J301" s="10"/>
    </row>
    <row r="302" spans="4:10" x14ac:dyDescent="0.3">
      <c r="D302" s="3">
        <v>30</v>
      </c>
      <c r="E302" s="19">
        <f t="shared" si="4"/>
        <v>45687</v>
      </c>
      <c r="F302" s="20"/>
      <c r="G302" s="20"/>
      <c r="H302" s="25"/>
      <c r="I302" s="21"/>
      <c r="J302" s="22"/>
    </row>
    <row r="303" spans="4:10" x14ac:dyDescent="0.3">
      <c r="D303" s="3">
        <v>31</v>
      </c>
      <c r="E303" s="15">
        <f t="shared" si="4"/>
        <v>45688</v>
      </c>
      <c r="F303" s="16"/>
      <c r="G303" s="16"/>
      <c r="H303" s="23"/>
      <c r="I303" s="17"/>
      <c r="J303" s="18"/>
    </row>
    <row r="304" spans="4:10" x14ac:dyDescent="0.3">
      <c r="D304" s="3">
        <v>31</v>
      </c>
      <c r="E304" s="9">
        <f t="shared" si="4"/>
        <v>45688</v>
      </c>
      <c r="F304" s="8"/>
      <c r="G304" s="8"/>
      <c r="H304" s="24"/>
      <c r="I304" s="7"/>
      <c r="J304" s="10"/>
    </row>
    <row r="305" spans="4:10" x14ac:dyDescent="0.3">
      <c r="D305" s="3">
        <v>31</v>
      </c>
      <c r="E305" s="9">
        <f t="shared" si="4"/>
        <v>45688</v>
      </c>
      <c r="F305" s="8"/>
      <c r="G305" s="8"/>
      <c r="H305" s="24"/>
      <c r="I305" s="7"/>
      <c r="J305" s="10"/>
    </row>
    <row r="306" spans="4:10" x14ac:dyDescent="0.3">
      <c r="D306" s="3">
        <v>31</v>
      </c>
      <c r="E306" s="9">
        <f t="shared" si="4"/>
        <v>45688</v>
      </c>
      <c r="F306" s="8"/>
      <c r="G306" s="8"/>
      <c r="H306" s="24"/>
      <c r="I306" s="7"/>
      <c r="J306" s="10"/>
    </row>
    <row r="307" spans="4:10" x14ac:dyDescent="0.3">
      <c r="D307" s="3">
        <v>31</v>
      </c>
      <c r="E307" s="9">
        <f t="shared" si="4"/>
        <v>45688</v>
      </c>
      <c r="F307" s="8"/>
      <c r="G307" s="8"/>
      <c r="H307" s="24"/>
      <c r="I307" s="7"/>
      <c r="J307" s="10"/>
    </row>
    <row r="308" spans="4:10" x14ac:dyDescent="0.3">
      <c r="D308" s="3">
        <v>31</v>
      </c>
      <c r="E308" s="9">
        <f t="shared" si="4"/>
        <v>45688</v>
      </c>
      <c r="F308" s="8"/>
      <c r="G308" s="8"/>
      <c r="H308" s="24"/>
      <c r="I308" s="7"/>
      <c r="J308" s="10"/>
    </row>
    <row r="309" spans="4:10" x14ac:dyDescent="0.3">
      <c r="D309" s="3">
        <v>31</v>
      </c>
      <c r="E309" s="9">
        <f t="shared" si="4"/>
        <v>45688</v>
      </c>
      <c r="F309" s="8"/>
      <c r="G309" s="8"/>
      <c r="H309" s="24"/>
      <c r="I309" s="7"/>
      <c r="J309" s="10"/>
    </row>
    <row r="310" spans="4:10" x14ac:dyDescent="0.3">
      <c r="D310" s="3">
        <v>31</v>
      </c>
      <c r="E310" s="9">
        <f t="shared" si="4"/>
        <v>45688</v>
      </c>
      <c r="F310" s="8"/>
      <c r="G310" s="8"/>
      <c r="H310" s="24"/>
      <c r="I310" s="7"/>
      <c r="J310" s="10"/>
    </row>
    <row r="311" spans="4:10" x14ac:dyDescent="0.3">
      <c r="D311" s="3">
        <v>31</v>
      </c>
      <c r="E311" s="9">
        <f t="shared" si="4"/>
        <v>45688</v>
      </c>
      <c r="F311" s="8"/>
      <c r="G311" s="8"/>
      <c r="H311" s="24"/>
      <c r="I311" s="7"/>
      <c r="J311" s="10"/>
    </row>
    <row r="312" spans="4:10" ht="14.25" thickBot="1" x14ac:dyDescent="0.35">
      <c r="D312" s="3">
        <v>31</v>
      </c>
      <c r="E312" s="11">
        <f t="shared" si="4"/>
        <v>45688</v>
      </c>
      <c r="F312" s="12"/>
      <c r="G312" s="12"/>
      <c r="H312" s="26"/>
      <c r="I312" s="13"/>
      <c r="J312" s="14"/>
    </row>
    <row r="313" spans="4:10" x14ac:dyDescent="0.3">
      <c r="F313" s="6"/>
      <c r="G313" s="6"/>
    </row>
    <row r="314" spans="4:10" x14ac:dyDescent="0.3">
      <c r="F314" s="6"/>
      <c r="G314" s="6"/>
    </row>
    <row r="315" spans="4:10" x14ac:dyDescent="0.3">
      <c r="F315" s="6"/>
      <c r="G315" s="6"/>
    </row>
    <row r="316" spans="4:10" x14ac:dyDescent="0.3">
      <c r="F316" s="6"/>
      <c r="G316" s="6"/>
    </row>
    <row r="317" spans="4:10" x14ac:dyDescent="0.3">
      <c r="F317" s="6"/>
      <c r="G317" s="6"/>
    </row>
    <row r="318" spans="4:10" x14ac:dyDescent="0.3">
      <c r="F318" s="6"/>
      <c r="G318" s="6"/>
    </row>
    <row r="319" spans="4:10" x14ac:dyDescent="0.3">
      <c r="F319" s="6"/>
      <c r="G319" s="6"/>
    </row>
    <row r="320" spans="4:10" x14ac:dyDescent="0.3">
      <c r="F320" s="6"/>
      <c r="G320" s="6"/>
    </row>
    <row r="321" spans="6:7" x14ac:dyDescent="0.3">
      <c r="F321" s="6"/>
      <c r="G321" s="6"/>
    </row>
    <row r="322" spans="6:7" x14ac:dyDescent="0.3">
      <c r="F322" s="6"/>
      <c r="G322" s="6"/>
    </row>
    <row r="323" spans="6:7" x14ac:dyDescent="0.3">
      <c r="F323" s="6"/>
      <c r="G323" s="6"/>
    </row>
    <row r="324" spans="6:7" x14ac:dyDescent="0.3">
      <c r="F324" s="6"/>
      <c r="G324" s="6"/>
    </row>
    <row r="325" spans="6:7" x14ac:dyDescent="0.3">
      <c r="F325" s="6"/>
      <c r="G325" s="6"/>
    </row>
    <row r="326" spans="6:7" x14ac:dyDescent="0.3">
      <c r="F326" s="6"/>
      <c r="G326" s="6"/>
    </row>
    <row r="327" spans="6:7" x14ac:dyDescent="0.3">
      <c r="F327" s="6"/>
      <c r="G327" s="6"/>
    </row>
    <row r="328" spans="6:7" x14ac:dyDescent="0.3">
      <c r="F328" s="6"/>
      <c r="G328" s="6"/>
    </row>
    <row r="329" spans="6:7" x14ac:dyDescent="0.3">
      <c r="F329" s="6"/>
      <c r="G329" s="6"/>
    </row>
    <row r="330" spans="6:7" x14ac:dyDescent="0.3">
      <c r="F330" s="6"/>
      <c r="G330" s="6"/>
    </row>
    <row r="331" spans="6:7" x14ac:dyDescent="0.3">
      <c r="F331" s="6"/>
      <c r="G331" s="6"/>
    </row>
    <row r="332" spans="6:7" x14ac:dyDescent="0.3">
      <c r="F332" s="6"/>
      <c r="G332" s="6"/>
    </row>
    <row r="333" spans="6:7" x14ac:dyDescent="0.3">
      <c r="F333" s="6"/>
      <c r="G333" s="6"/>
    </row>
    <row r="334" spans="6:7" x14ac:dyDescent="0.3">
      <c r="F334" s="6"/>
      <c r="G334" s="6"/>
    </row>
    <row r="335" spans="6:7" x14ac:dyDescent="0.3">
      <c r="F335" s="6"/>
      <c r="G335" s="6"/>
    </row>
    <row r="336" spans="6:7" x14ac:dyDescent="0.3">
      <c r="F336" s="6"/>
      <c r="G336" s="6"/>
    </row>
    <row r="337" spans="6:7" x14ac:dyDescent="0.3">
      <c r="F337" s="6"/>
      <c r="G337" s="6"/>
    </row>
    <row r="338" spans="6:7" x14ac:dyDescent="0.3">
      <c r="F338" s="6"/>
      <c r="G338" s="6"/>
    </row>
    <row r="339" spans="6:7" x14ac:dyDescent="0.3">
      <c r="F339" s="6"/>
      <c r="G339" s="6"/>
    </row>
    <row r="340" spans="6:7" x14ac:dyDescent="0.3">
      <c r="F340" s="6"/>
      <c r="G340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참조!$F$2:$F$3</xm:f>
          </x14:formula1>
          <xm:sqref>F3:F340</xm:sqref>
        </x14:dataValidation>
        <x14:dataValidation type="list" allowBlank="1" showInputMessage="1" showErrorMessage="1">
          <x14:formula1>
            <xm:f>참조!$G$2:$G$3</xm:f>
          </x14:formula1>
          <xm:sqref>G3:G340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참조</vt:lpstr>
      <vt:lpstr>2026년휴일</vt:lpstr>
      <vt:lpstr>2026저축계획</vt:lpstr>
      <vt:lpstr>장기계획</vt:lpstr>
      <vt:lpstr>2026년달력</vt:lpstr>
      <vt:lpstr>지출기록_1월</vt:lpstr>
      <vt:lpstr>지출기록_2월</vt:lpstr>
      <vt:lpstr>지출기록_3월</vt:lpstr>
      <vt:lpstr>지출기록_4월</vt:lpstr>
      <vt:lpstr>지출기록_5월</vt:lpstr>
      <vt:lpstr>지출기록_6월</vt:lpstr>
      <vt:lpstr>지출기록_7월</vt:lpstr>
      <vt:lpstr>지출기록_8월</vt:lpstr>
      <vt:lpstr>지출기록_9월</vt:lpstr>
      <vt:lpstr>지출기록_10월</vt:lpstr>
      <vt:lpstr>지출기록_11월</vt:lpstr>
      <vt:lpstr>지출기록_12월</vt:lpstr>
      <vt:lpstr>지출기록_양식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박중수</dc:creator>
  <cp:lastModifiedBy>박중수</cp:lastModifiedBy>
  <dcterms:created xsi:type="dcterms:W3CDTF">2025-01-08T13:36:52Z</dcterms:created>
  <dcterms:modified xsi:type="dcterms:W3CDTF">2026-05-26T14:24:32Z</dcterms:modified>
</cp:coreProperties>
</file>